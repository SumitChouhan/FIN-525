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drawings/drawing2.xml" ContentType="application/vnd.openxmlformats-officedocument.drawing+xml"/>
  <Override PartName="/xl/sharedStrings.xml" ContentType="application/vnd.openxmlformats-officedocument.spreadsheetml.sharedString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drawings/drawing3.xml" ContentType="application/vnd.openxmlformats-officedocument.drawing+xml"/>
  <Override PartName="/xl/calcChain.xml" ContentType="application/vnd.openxmlformats-officedocument.spreadsheetml.calcChain+xml"/>
  <Default Extension="bin" ContentType="application/vnd.ms-office.vbaProject"/>
  <Default Extension="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autoCompressPictures="0"/>
  <bookViews>
    <workbookView xWindow="120" yWindow="100" windowWidth="24640" windowHeight="13680"/>
  </bookViews>
  <sheets>
    <sheet name="ConversionFactor" sheetId="1" r:id="rId1"/>
    <sheet name="Instructions" sheetId="2" r:id="rId2"/>
    <sheet name="About" sheetId="3" r:id="rId3"/>
  </sheets>
  <definedNames>
    <definedName name="dvec">ConversionFactor!#REF!</definedName>
    <definedName name="mcruns">ConversionFactor!#REF!</definedName>
    <definedName name="mcsec">ConversionFactor!#REF!</definedName>
    <definedName name="mcsep">ConversionFactor!#REF!</definedName>
    <definedName name="nsteps">ConversionFactor!#REF!</definedName>
    <definedName name="_xlnm.Print_Area" localSheetId="0">ConversionFactor!$A$1:$G$19</definedName>
    <definedName name="pvdisdiv">ConversionFactor!#REF!</definedName>
    <definedName name="rf">ConversionFactor!#REF!</definedName>
    <definedName name="S">ConversionFactor!#REF!</definedName>
    <definedName name="sac">ConversionFactor!#REF!</definedName>
    <definedName name="sacd">ConversionFactor!#REF!</definedName>
    <definedName name="sacg">ConversionFactor!#REF!</definedName>
    <definedName name="sact">ConversionFactor!#REF!</definedName>
    <definedName name="sap">ConversionFactor!#REF!</definedName>
    <definedName name="sapd">ConversionFactor!#REF!</definedName>
    <definedName name="sapg">ConversionFactor!#REF!</definedName>
    <definedName name="sapt">ConversionFactor!#REF!</definedName>
    <definedName name="sec">ConversionFactor!#REF!</definedName>
    <definedName name="secd">ConversionFactor!#REF!</definedName>
    <definedName name="secg">ConversionFactor!#REF!</definedName>
    <definedName name="sect">ConversionFactor!#REF!</definedName>
    <definedName name="sep">ConversionFactor!#REF!</definedName>
    <definedName name="sepd">ConversionFactor!#REF!</definedName>
    <definedName name="sepg">ConversionFactor!#REF!</definedName>
    <definedName name="sept">ConversionFactor!#REF!</definedName>
    <definedName name="sigma">ConversionFactor!#REF!</definedName>
    <definedName name="t">ConversionFactor!#REF!</definedName>
    <definedName name="X">ConversionFactor!#REF!</definedName>
    <definedName name="yield">ConversionFactor!#REF!</definedName>
  </definedNames>
  <calcPr calcId="130407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K17" i="1"/>
  <c r="W17"/>
  <c r="L16"/>
  <c r="L17"/>
  <c r="M17"/>
  <c r="K16"/>
  <c r="T17"/>
  <c r="D17"/>
  <c r="F17"/>
  <c r="N17"/>
  <c r="O17"/>
  <c r="R17"/>
  <c r="S17"/>
  <c r="P17"/>
  <c r="Q17"/>
  <c r="U17"/>
  <c r="E17"/>
  <c r="V17"/>
  <c r="D13"/>
</calcChain>
</file>

<file path=xl/sharedStrings.xml><?xml version="1.0" encoding="utf-8"?>
<sst xmlns="http://schemas.openxmlformats.org/spreadsheetml/2006/main" count="20" uniqueCount="19">
  <si>
    <t>Inputs:</t>
  </si>
  <si>
    <t>Results:</t>
  </si>
  <si>
    <t>Delivery Date (mm/yyyy)</t>
  </si>
  <si>
    <t>Conversion Factor</t>
  </si>
  <si>
    <t>Maturity on Delivery Date</t>
  </si>
  <si>
    <t>WORKSPACE:  DO NOT ALTER</t>
  </si>
  <si>
    <t>Coupon Rate</t>
  </si>
  <si>
    <t>Maturity Date (mm/dd/yyyy)</t>
  </si>
  <si>
    <t>Years</t>
  </si>
  <si>
    <t>Months</t>
  </si>
  <si>
    <t>Days</t>
  </si>
  <si>
    <t>mo</t>
  </si>
  <si>
    <t>YRS</t>
  </si>
  <si>
    <t>MOS</t>
  </si>
  <si>
    <t>QTR</t>
  </si>
  <si>
    <t>CF0</t>
  </si>
  <si>
    <t>CF3</t>
  </si>
  <si>
    <t>CF6</t>
  </si>
  <si>
    <t>CF9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</si>
</sst>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mmmm\ d\,\ yyyy"/>
    <numFmt numFmtId="166" formatCode="0.000%"/>
  </numFmts>
  <fonts count="6">
    <font>
      <sz val="10"/>
      <name val="Arial"/>
    </font>
    <font>
      <sz val="10"/>
      <name val="Arial"/>
    </font>
    <font>
      <sz val="10"/>
      <color indexed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fill"/>
    </xf>
    <xf numFmtId="0" fontId="5" fillId="0" borderId="0" xfId="0" applyFont="1"/>
    <xf numFmtId="0" fontId="0" fillId="2" borderId="0" xfId="0" applyFill="1"/>
    <xf numFmtId="0" fontId="0" fillId="2" borderId="1" xfId="0" applyFill="1" applyBorder="1"/>
    <xf numFmtId="0" fontId="3" fillId="2" borderId="0" xfId="0" applyFont="1" applyFill="1"/>
    <xf numFmtId="0" fontId="0" fillId="2" borderId="2" xfId="0" applyFill="1" applyBorder="1"/>
    <xf numFmtId="0" fontId="0" fillId="2" borderId="3" xfId="0" applyFill="1" applyBorder="1"/>
    <xf numFmtId="0" fontId="0" fillId="3" borderId="0" xfId="0" applyFill="1"/>
    <xf numFmtId="0" fontId="0" fillId="3" borderId="4" xfId="0" applyFill="1" applyBorder="1"/>
    <xf numFmtId="0" fontId="3" fillId="3" borderId="0" xfId="0" applyFont="1" applyFill="1"/>
    <xf numFmtId="0" fontId="0" fillId="3" borderId="0" xfId="0" applyFill="1" applyAlignment="1"/>
    <xf numFmtId="0" fontId="0" fillId="3" borderId="0" xfId="0" applyFill="1" applyAlignment="1">
      <alignment horizontal="right"/>
    </xf>
    <xf numFmtId="17" fontId="2" fillId="3" borderId="5" xfId="0" applyNumberFormat="1" applyFont="1" applyFill="1" applyBorder="1" applyAlignment="1" applyProtection="1">
      <alignment wrapText="1"/>
      <protection locked="0"/>
    </xf>
    <xf numFmtId="164" fontId="0" fillId="3" borderId="6" xfId="0" applyNumberFormat="1" applyFill="1" applyBorder="1"/>
    <xf numFmtId="17" fontId="0" fillId="3" borderId="0" xfId="0" applyNumberFormat="1" applyFill="1" applyBorder="1" applyAlignment="1">
      <alignment wrapText="1"/>
    </xf>
    <xf numFmtId="164" fontId="0" fillId="3" borderId="0" xfId="0" applyNumberFormat="1" applyFill="1" applyBorder="1"/>
    <xf numFmtId="0" fontId="0" fillId="3" borderId="0" xfId="0" applyFill="1" applyAlignment="1">
      <alignment horizontal="right" wrapText="1"/>
    </xf>
    <xf numFmtId="166" fontId="2" fillId="3" borderId="5" xfId="1" applyNumberFormat="1" applyFont="1" applyFill="1" applyBorder="1" applyProtection="1">
      <protection locked="0"/>
    </xf>
    <xf numFmtId="165" fontId="2" fillId="3" borderId="5" xfId="0" applyNumberFormat="1" applyFont="1" applyFill="1" applyBorder="1" applyAlignment="1" applyProtection="1">
      <alignment wrapText="1"/>
      <protection locked="0"/>
    </xf>
    <xf numFmtId="14" fontId="0" fillId="3" borderId="0" xfId="0" applyNumberFormat="1" applyFill="1"/>
    <xf numFmtId="1" fontId="0" fillId="3" borderId="6" xfId="0" applyNumberFormat="1" applyFill="1" applyBorder="1"/>
    <xf numFmtId="0" fontId="0" fillId="3" borderId="0" xfId="0" applyFill="1" applyBorder="1"/>
    <xf numFmtId="0" fontId="0" fillId="3" borderId="0" xfId="0" applyFill="1" applyAlignment="1">
      <alignment wrapText="1"/>
    </xf>
    <xf numFmtId="0" fontId="0" fillId="3" borderId="7" xfId="0" applyFill="1" applyBorder="1"/>
    <xf numFmtId="0" fontId="0" fillId="3" borderId="8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1</xdr:row>
      <xdr:rowOff>19050</xdr:rowOff>
    </xdr:from>
    <xdr:to>
      <xdr:col>5</xdr:col>
      <xdr:colOff>619125</xdr:colOff>
      <xdr:row>6</xdr:row>
      <xdr:rowOff>123825</xdr:rowOff>
    </xdr:to>
    <xdr:sp macro="" textlink="">
      <xdr:nvSpPr>
        <xdr:cNvPr id="1032" name="Text 8"/>
        <xdr:cNvSpPr>
          <a:spLocks noChangeArrowheads="1"/>
        </xdr:cNvSpPr>
      </xdr:nvSpPr>
      <xdr:spPr bwMode="auto">
        <a:xfrm>
          <a:off x="495300" y="180975"/>
          <a:ext cx="4429125" cy="914400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TREASURY BOND FUTURES</a:t>
          </a:r>
        </a:p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CONVERSION FACTOR</a:t>
          </a:r>
        </a:p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10e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</xdr:row>
      <xdr:rowOff>142875</xdr:rowOff>
    </xdr:from>
    <xdr:to>
      <xdr:col>8</xdr:col>
      <xdr:colOff>0</xdr:colOff>
      <xdr:row>13</xdr:row>
      <xdr:rowOff>66675</xdr:rowOff>
    </xdr:to>
    <xdr:sp macro="" textlink="">
      <xdr:nvSpPr>
        <xdr:cNvPr id="3073" name="Text 7"/>
        <xdr:cNvSpPr>
          <a:spLocks noChangeArrowheads="1"/>
        </xdr:cNvSpPr>
      </xdr:nvSpPr>
      <xdr:spPr bwMode="auto">
        <a:xfrm>
          <a:off x="295275" y="304800"/>
          <a:ext cx="4581525" cy="1866900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Insert the delivery date in the format mm/yyyy (e.g., 12/2000 for December of 2000).  Then insert the coupon rate as either a decimal or a percent (e.g., 6.25 or .0625 for 6.25 %) and the maturity date in the format mm/dd/yyyy (e.g. 8/15/2019 for August 15, 2019).</a:t>
          </a:r>
        </a:p>
        <a:p>
          <a:pPr algn="just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conversion factor will automatically recalculate and appears in the Results section.  The maturity of the deliverable bond in years, months and days on the delivery date is also provided.</a:t>
          </a:r>
        </a:p>
        <a:p>
          <a:pPr algn="just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6</xdr:col>
      <xdr:colOff>476250</xdr:colOff>
      <xdr:row>13</xdr:row>
      <xdr:rowOff>133350</xdr:rowOff>
    </xdr:to>
    <xdr:sp macro="" textlink="">
      <xdr:nvSpPr>
        <xdr:cNvPr id="2049" name="Text 16"/>
        <xdr:cNvSpPr>
          <a:spLocks noChangeArrowheads="1"/>
        </xdr:cNvSpPr>
      </xdr:nvSpPr>
      <xdr:spPr bwMode="auto">
        <a:xfrm>
          <a:off x="647700" y="209550"/>
          <a:ext cx="3486150" cy="2028825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Instructions: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Written by Don M. Chance and Robert Brooks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For use with </a:t>
          </a:r>
          <a:r>
            <a:rPr lang="en-US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An Introduction to Derivatives and Risk Management, 10</a:t>
          </a:r>
          <a:r>
            <a:rPr lang="en-US" sz="1000" b="0" i="1" u="none" strike="noStrike" baseline="30000">
              <a:solidFill>
                <a:srgbClr val="000000"/>
              </a:solidFill>
              <a:latin typeface="Arial"/>
              <a:cs typeface="Arial"/>
            </a:rPr>
            <a:t>th</a:t>
          </a:r>
          <a:r>
            <a:rPr lang="en-US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 ed.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(Mason, Ohio:  Cengage, 2015)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Date:  7/09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Last updated:  3/18/14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© 2015 Cengage Learning. All Rights Reserved. May not be scanned, copied or duplicated, or posted to a publicly accessible website, in whole or in part.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1" enableFormatConditionsCalculation="0"/>
  <dimension ref="A1:W19"/>
  <sheetViews>
    <sheetView tabSelected="1" zoomScale="170" workbookViewId="0">
      <selection activeCell="A18" sqref="A18"/>
    </sheetView>
  </sheetViews>
  <sheetFormatPr baseColWidth="10" defaultColWidth="8.83203125" defaultRowHeight="12"/>
  <cols>
    <col min="1" max="1" width="12.83203125" customWidth="1"/>
    <col min="2" max="2" width="18.5" customWidth="1"/>
    <col min="4" max="4" width="13.5" customWidth="1"/>
    <col min="5" max="5" width="10.6640625" customWidth="1"/>
    <col min="6" max="6" width="11.6640625" customWidth="1"/>
    <col min="23" max="23" width="9.5" customWidth="1"/>
  </cols>
  <sheetData>
    <row r="1" spans="1:23">
      <c r="A1" s="3"/>
      <c r="B1" s="3"/>
      <c r="C1" s="3"/>
      <c r="D1" s="3"/>
      <c r="E1" s="3"/>
      <c r="F1" s="3"/>
      <c r="G1" s="4"/>
    </row>
    <row r="2" spans="1:23" ht="12.75" customHeight="1">
      <c r="A2" s="3"/>
      <c r="B2" s="3"/>
      <c r="C2" s="3"/>
      <c r="D2" s="3"/>
      <c r="E2" s="3"/>
      <c r="F2" s="3"/>
      <c r="G2" s="4"/>
    </row>
    <row r="3" spans="1:23" ht="12.75" customHeight="1">
      <c r="A3" s="3"/>
      <c r="B3" s="3"/>
      <c r="C3" s="5"/>
      <c r="D3" s="3"/>
      <c r="E3" s="3"/>
      <c r="F3" s="3"/>
      <c r="G3" s="4"/>
    </row>
    <row r="4" spans="1:23" ht="12.75" customHeight="1">
      <c r="A4" s="3"/>
      <c r="B4" s="3"/>
      <c r="C4" s="5"/>
      <c r="D4" s="3"/>
      <c r="E4" s="3"/>
      <c r="F4" s="3"/>
      <c r="G4" s="4"/>
    </row>
    <row r="5" spans="1:23" ht="12.75" customHeight="1">
      <c r="A5" s="3"/>
      <c r="B5" s="3"/>
      <c r="C5" s="3"/>
      <c r="D5" s="3"/>
      <c r="E5" s="3"/>
      <c r="F5" s="3"/>
      <c r="G5" s="4"/>
    </row>
    <row r="6" spans="1:23" ht="12.75" customHeight="1">
      <c r="A6" s="3"/>
      <c r="B6" s="3"/>
      <c r="C6" s="3"/>
      <c r="D6" s="3"/>
      <c r="E6" s="3"/>
      <c r="F6" s="3"/>
      <c r="G6" s="4"/>
    </row>
    <row r="7" spans="1:23" ht="12.75" customHeight="1">
      <c r="A7" s="3"/>
      <c r="B7" s="3"/>
      <c r="C7" s="3"/>
      <c r="D7" s="3"/>
      <c r="E7" s="3"/>
      <c r="F7" s="3"/>
      <c r="G7" s="4"/>
    </row>
    <row r="8" spans="1:23" ht="12.75" customHeight="1" thickBot="1">
      <c r="A8" s="6"/>
      <c r="B8" s="6"/>
      <c r="C8" s="6"/>
      <c r="D8" s="6"/>
      <c r="E8" s="6"/>
      <c r="F8" s="6"/>
      <c r="G8" s="7"/>
    </row>
    <row r="9" spans="1:23" ht="12.75" customHeight="1">
      <c r="A9" s="8"/>
      <c r="B9" s="8"/>
      <c r="C9" s="8"/>
      <c r="D9" s="8"/>
      <c r="E9" s="8"/>
      <c r="F9" s="8"/>
      <c r="G9" s="9"/>
    </row>
    <row r="10" spans="1:23" ht="12.75" customHeight="1">
      <c r="A10" s="8"/>
      <c r="B10" s="8"/>
      <c r="C10" s="8"/>
      <c r="D10" s="8"/>
      <c r="E10" s="8"/>
      <c r="F10" s="8"/>
      <c r="G10" s="9"/>
    </row>
    <row r="11" spans="1:23" ht="12.75" customHeight="1">
      <c r="A11" s="10" t="s">
        <v>0</v>
      </c>
      <c r="B11" s="8"/>
      <c r="C11" s="8"/>
      <c r="D11" s="10" t="s">
        <v>1</v>
      </c>
      <c r="E11" s="8"/>
      <c r="F11" s="8"/>
      <c r="G11" s="9"/>
    </row>
    <row r="12" spans="1:23" ht="12.75" customHeight="1" thickBot="1">
      <c r="A12" s="8"/>
      <c r="B12" s="11" t="s">
        <v>2</v>
      </c>
      <c r="C12" s="11"/>
      <c r="D12" s="12" t="s">
        <v>3</v>
      </c>
      <c r="E12" s="8"/>
      <c r="F12" s="8"/>
      <c r="G12" s="9"/>
      <c r="H12" s="1"/>
      <c r="I12" s="1"/>
      <c r="J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ht="16.5" customHeight="1" thickTop="1" thickBot="1">
      <c r="A13" s="8"/>
      <c r="B13" s="13">
        <v>42064</v>
      </c>
      <c r="C13" s="8"/>
      <c r="D13" s="14">
        <f>IF(A17=0.06,1,CHOOSE($V17+1,$P17,$Q17,$R17,$S17))</f>
        <v>0.68560282420176399</v>
      </c>
      <c r="E13" s="8"/>
      <c r="F13" s="8"/>
      <c r="G13" s="9"/>
      <c r="K13" s="2"/>
      <c r="L13" s="2"/>
      <c r="M13" s="2"/>
      <c r="N13" s="2"/>
      <c r="O13" s="2"/>
      <c r="P13" s="2"/>
      <c r="Q13" s="2"/>
      <c r="R13" s="2"/>
      <c r="S13" s="2"/>
      <c r="T13" s="2">
        <v>1</v>
      </c>
      <c r="U13" s="2"/>
      <c r="V13" s="2"/>
      <c r="W13" s="2"/>
    </row>
    <row r="14" spans="1:23" ht="12.75" customHeight="1">
      <c r="A14" s="8"/>
      <c r="B14" s="15"/>
      <c r="C14" s="8"/>
      <c r="D14" s="16"/>
      <c r="E14" s="8"/>
      <c r="F14" s="8"/>
      <c r="G14" s="9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2.75" customHeight="1">
      <c r="A15" s="8"/>
      <c r="B15" s="8"/>
      <c r="C15" s="8"/>
      <c r="D15" s="8" t="s">
        <v>4</v>
      </c>
      <c r="E15" s="8"/>
      <c r="F15" s="8"/>
      <c r="G15" s="9"/>
      <c r="K15" s="2"/>
      <c r="L15" s="2"/>
      <c r="M15" s="2"/>
      <c r="N15" s="2"/>
      <c r="O15" s="2" t="s">
        <v>5</v>
      </c>
      <c r="P15" s="2"/>
      <c r="Q15" s="2"/>
      <c r="R15" s="2"/>
      <c r="S15" s="2"/>
      <c r="T15" s="2"/>
      <c r="U15" s="2"/>
      <c r="V15" s="2"/>
      <c r="W15" s="2"/>
    </row>
    <row r="16" spans="1:23" ht="26.25" customHeight="1" thickBot="1">
      <c r="A16" s="17" t="s">
        <v>6</v>
      </c>
      <c r="B16" s="17" t="s">
        <v>7</v>
      </c>
      <c r="C16" s="8"/>
      <c r="D16" s="12" t="s">
        <v>8</v>
      </c>
      <c r="E16" s="17" t="s">
        <v>9</v>
      </c>
      <c r="F16" s="12" t="s">
        <v>10</v>
      </c>
      <c r="G16" s="9"/>
      <c r="K16" s="2">
        <f>YEAR(B13)-1900</f>
        <v>115</v>
      </c>
      <c r="L16" s="2">
        <f>MONTH(B13)</f>
        <v>3</v>
      </c>
      <c r="M16" s="2"/>
      <c r="N16" s="2" t="s">
        <v>11</v>
      </c>
      <c r="O16" s="2" t="s">
        <v>11</v>
      </c>
      <c r="P16" s="2" t="s">
        <v>15</v>
      </c>
      <c r="Q16" s="2" t="s">
        <v>16</v>
      </c>
      <c r="R16" s="2" t="s">
        <v>17</v>
      </c>
      <c r="S16" s="2" t="s">
        <v>18</v>
      </c>
      <c r="T16" s="2" t="s">
        <v>12</v>
      </c>
      <c r="U16" s="2" t="s">
        <v>13</v>
      </c>
      <c r="V16" s="2" t="s">
        <v>14</v>
      </c>
      <c r="W16" s="2"/>
    </row>
    <row r="17" spans="1:23" ht="15" customHeight="1" thickTop="1" thickBot="1">
      <c r="A17" s="18">
        <v>3.5000000000000003E-2</v>
      </c>
      <c r="B17" s="19">
        <v>50816</v>
      </c>
      <c r="C17" s="20"/>
      <c r="D17" s="21">
        <f>T17</f>
        <v>23</v>
      </c>
      <c r="E17" s="21">
        <f>U17</f>
        <v>11</v>
      </c>
      <c r="F17" s="21">
        <f>DAY(B17)-T13</f>
        <v>14</v>
      </c>
      <c r="G17" s="9"/>
      <c r="K17" s="2">
        <f>YEAR(B17)</f>
        <v>2039</v>
      </c>
      <c r="L17" s="2">
        <f>MONTH(B17)</f>
        <v>2</v>
      </c>
      <c r="M17" s="2">
        <f>DAY(B17)</f>
        <v>15</v>
      </c>
      <c r="N17" s="2">
        <f>IF(L17+6&gt;12,L17-6,L17)</f>
        <v>2</v>
      </c>
      <c r="O17" s="2">
        <f>N17+6</f>
        <v>8</v>
      </c>
      <c r="P17" s="2">
        <f>($A17*100/2)*(1-(1.03)^(-$T17*2))/0.03/100+(1.03)^(-$T17*2)</f>
        <v>0.69030688663614215</v>
      </c>
      <c r="Q17" s="2">
        <f>($P17+$A17*100*0.005)*(1.03)^(-0.5)-$A17*100*0.0025</f>
        <v>0.68867284868890555</v>
      </c>
      <c r="R17" s="2">
        <f>$A17*100*0.005*(1-(1.03)^(-($T17*2+1)))/0.03+(1.03)^(-($T17*2+1))</f>
        <v>0.68719115207392445</v>
      </c>
      <c r="S17" s="2">
        <f>($R17+$A17*100*0.005)*(1.03)^(-0.5)-$A17*100*0.0025</f>
        <v>0.68560282420176399</v>
      </c>
      <c r="T17" s="2">
        <f>IF(DATE($W17,$L$16,$T$13)&gt;DATE($W17,$L17,$M17),$W17-$K$16-1,$W17-$K$16)</f>
        <v>23</v>
      </c>
      <c r="U17" s="2">
        <f>IF($T17=$W17-$K$16,$L17-$L$16,$L17+12-$L$16)</f>
        <v>11</v>
      </c>
      <c r="V17" s="2">
        <f>TRUNC($U17/3)</f>
        <v>3</v>
      </c>
      <c r="W17" s="2">
        <f>$K17-1900</f>
        <v>139</v>
      </c>
    </row>
    <row r="18" spans="1:23" ht="12.75" customHeight="1">
      <c r="A18" s="22"/>
      <c r="B18" s="22"/>
      <c r="C18" s="22"/>
      <c r="D18" s="22"/>
      <c r="E18" s="8"/>
      <c r="F18" s="23"/>
      <c r="G18" s="9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2.75" customHeight="1">
      <c r="A19" s="24"/>
      <c r="B19" s="24"/>
      <c r="C19" s="24"/>
      <c r="D19" s="24"/>
      <c r="E19" s="24"/>
      <c r="F19" s="24"/>
      <c r="G19" s="25"/>
    </row>
  </sheetData>
  <phoneticPr fontId="0" type="noConversion"/>
  <printOptions gridLines="1" gridLinesSet="0"/>
  <pageMargins left="0.75" right="0.75" top="1" bottom="1" header="0.5" footer="0.5"/>
  <headerFooter alignWithMargins="0">
    <oddHeader>cf</oddHeader>
    <oddFooter>Page &amp;P</oddFooter>
  </headerFooter>
  <drawing r:id="rId1"/>
  <legacy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2" enableFormatConditionsCalculation="0"/>
  <dimension ref="A1:I16"/>
  <sheetViews>
    <sheetView workbookViewId="0">
      <selection activeCell="N10" sqref="N10"/>
    </sheetView>
  </sheetViews>
  <sheetFormatPr baseColWidth="10" defaultColWidth="8.83203125" defaultRowHeight="12"/>
  <sheetData>
    <row r="1" spans="1:9">
      <c r="A1" s="3"/>
      <c r="B1" s="3"/>
      <c r="C1" s="3"/>
      <c r="D1" s="3"/>
      <c r="E1" s="3"/>
      <c r="F1" s="3"/>
      <c r="G1" s="3"/>
      <c r="H1" s="3"/>
      <c r="I1" s="4"/>
    </row>
    <row r="2" spans="1:9">
      <c r="A2" s="3"/>
      <c r="B2" s="3"/>
      <c r="C2" s="3"/>
      <c r="D2" s="3"/>
      <c r="E2" s="3"/>
      <c r="F2" s="3"/>
      <c r="G2" s="3"/>
      <c r="H2" s="3"/>
      <c r="I2" s="4"/>
    </row>
    <row r="3" spans="1:9">
      <c r="A3" s="3"/>
      <c r="B3" s="3"/>
      <c r="C3" s="3"/>
      <c r="D3" s="3"/>
      <c r="E3" s="3"/>
      <c r="F3" s="3"/>
      <c r="G3" s="3"/>
      <c r="H3" s="3"/>
      <c r="I3" s="4"/>
    </row>
    <row r="4" spans="1:9">
      <c r="A4" s="3"/>
      <c r="B4" s="3"/>
      <c r="C4" s="3"/>
      <c r="D4" s="3"/>
      <c r="E4" s="3"/>
      <c r="F4" s="3"/>
      <c r="G4" s="3"/>
      <c r="H4" s="3"/>
      <c r="I4" s="4"/>
    </row>
    <row r="5" spans="1:9">
      <c r="A5" s="3"/>
      <c r="B5" s="3"/>
      <c r="C5" s="3"/>
      <c r="D5" s="3"/>
      <c r="E5" s="3"/>
      <c r="F5" s="3"/>
      <c r="G5" s="3"/>
      <c r="H5" s="3"/>
      <c r="I5" s="4"/>
    </row>
    <row r="6" spans="1:9">
      <c r="A6" s="3"/>
      <c r="B6" s="3"/>
      <c r="C6" s="3"/>
      <c r="D6" s="3"/>
      <c r="E6" s="3"/>
      <c r="F6" s="3"/>
      <c r="G6" s="3"/>
      <c r="H6" s="3"/>
      <c r="I6" s="4"/>
    </row>
    <row r="7" spans="1:9">
      <c r="A7" s="3"/>
      <c r="B7" s="3"/>
      <c r="C7" s="3"/>
      <c r="D7" s="3"/>
      <c r="E7" s="3"/>
      <c r="F7" s="3"/>
      <c r="G7" s="3"/>
      <c r="H7" s="3"/>
      <c r="I7" s="4"/>
    </row>
    <row r="8" spans="1:9">
      <c r="A8" s="3"/>
      <c r="B8" s="3"/>
      <c r="C8" s="3"/>
      <c r="D8" s="3"/>
      <c r="E8" s="3"/>
      <c r="F8" s="3"/>
      <c r="G8" s="3"/>
      <c r="H8" s="3"/>
      <c r="I8" s="4"/>
    </row>
    <row r="9" spans="1:9">
      <c r="A9" s="3"/>
      <c r="B9" s="3"/>
      <c r="C9" s="3"/>
      <c r="D9" s="3"/>
      <c r="E9" s="3"/>
      <c r="F9" s="3"/>
      <c r="G9" s="3"/>
      <c r="H9" s="3"/>
      <c r="I9" s="4"/>
    </row>
    <row r="10" spans="1:9">
      <c r="A10" s="3"/>
      <c r="B10" s="3"/>
      <c r="C10" s="3"/>
      <c r="D10" s="3"/>
      <c r="E10" s="3"/>
      <c r="F10" s="3"/>
      <c r="G10" s="3"/>
      <c r="H10" s="3"/>
      <c r="I10" s="4"/>
    </row>
    <row r="11" spans="1:9">
      <c r="A11" s="3"/>
      <c r="B11" s="3"/>
      <c r="C11" s="3"/>
      <c r="D11" s="3"/>
      <c r="E11" s="3"/>
      <c r="F11" s="3"/>
      <c r="G11" s="3"/>
      <c r="H11" s="3"/>
      <c r="I11" s="4"/>
    </row>
    <row r="12" spans="1:9">
      <c r="A12" s="3"/>
      <c r="B12" s="3"/>
      <c r="C12" s="3"/>
      <c r="D12" s="3"/>
      <c r="E12" s="3"/>
      <c r="F12" s="3"/>
      <c r="G12" s="3"/>
      <c r="H12" s="3"/>
      <c r="I12" s="4"/>
    </row>
    <row r="13" spans="1:9">
      <c r="A13" s="3"/>
      <c r="B13" s="3"/>
      <c r="C13" s="3"/>
      <c r="D13" s="3"/>
      <c r="E13" s="3"/>
      <c r="F13" s="3"/>
      <c r="G13" s="3"/>
      <c r="H13" s="3"/>
      <c r="I13" s="4"/>
    </row>
    <row r="14" spans="1:9">
      <c r="A14" s="3"/>
      <c r="B14" s="3"/>
      <c r="C14" s="3"/>
      <c r="D14" s="3"/>
      <c r="E14" s="3"/>
      <c r="F14" s="3"/>
      <c r="G14" s="3"/>
      <c r="H14" s="3"/>
      <c r="I14" s="4"/>
    </row>
    <row r="15" spans="1:9" ht="13" thickBot="1">
      <c r="A15" s="6"/>
      <c r="B15" s="6"/>
      <c r="C15" s="6"/>
      <c r="D15" s="6"/>
      <c r="E15" s="6"/>
      <c r="F15" s="6"/>
      <c r="G15" s="6"/>
      <c r="H15" s="6"/>
      <c r="I15" s="7"/>
    </row>
    <row r="16" spans="1:9" ht="13.5" thickTop="1"/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3" enableFormatConditionsCalculation="0"/>
  <dimension ref="A1:H16"/>
  <sheetViews>
    <sheetView workbookViewId="0">
      <selection activeCell="K33" sqref="K33"/>
    </sheetView>
  </sheetViews>
  <sheetFormatPr baseColWidth="10" defaultColWidth="8.83203125" defaultRowHeight="12"/>
  <sheetData>
    <row r="1" spans="1:8">
      <c r="A1" s="3"/>
      <c r="B1" s="3"/>
      <c r="C1" s="3"/>
      <c r="D1" s="3"/>
      <c r="E1" s="3"/>
      <c r="F1" s="3"/>
      <c r="G1" s="3"/>
      <c r="H1" s="3"/>
    </row>
    <row r="2" spans="1:8">
      <c r="A2" s="3"/>
      <c r="B2" s="3"/>
      <c r="C2" s="3"/>
      <c r="D2" s="3"/>
      <c r="E2" s="3"/>
      <c r="F2" s="3"/>
      <c r="G2" s="3"/>
      <c r="H2" s="3"/>
    </row>
    <row r="3" spans="1:8">
      <c r="A3" s="3"/>
      <c r="B3" s="3"/>
      <c r="C3" s="3"/>
      <c r="D3" s="3"/>
      <c r="E3" s="3"/>
      <c r="F3" s="3"/>
      <c r="G3" s="3"/>
      <c r="H3" s="3"/>
    </row>
    <row r="4" spans="1:8">
      <c r="A4" s="3"/>
      <c r="B4" s="3"/>
      <c r="C4" s="3"/>
      <c r="D4" s="3"/>
      <c r="E4" s="3"/>
      <c r="F4" s="3"/>
      <c r="G4" s="3"/>
      <c r="H4" s="3"/>
    </row>
    <row r="5" spans="1:8">
      <c r="A5" s="3"/>
      <c r="B5" s="3"/>
      <c r="C5" s="3"/>
      <c r="D5" s="3"/>
      <c r="E5" s="3"/>
      <c r="F5" s="3"/>
      <c r="G5" s="3"/>
      <c r="H5" s="3"/>
    </row>
    <row r="6" spans="1:8">
      <c r="A6" s="3"/>
      <c r="B6" s="3"/>
      <c r="C6" s="3"/>
      <c r="D6" s="3"/>
      <c r="E6" s="3"/>
      <c r="F6" s="3"/>
      <c r="G6" s="3"/>
      <c r="H6" s="3"/>
    </row>
    <row r="7" spans="1:8">
      <c r="A7" s="3"/>
      <c r="B7" s="3"/>
      <c r="C7" s="3"/>
      <c r="D7" s="3"/>
      <c r="E7" s="3"/>
      <c r="F7" s="3"/>
      <c r="G7" s="3"/>
      <c r="H7" s="3"/>
    </row>
    <row r="8" spans="1:8">
      <c r="A8" s="3"/>
      <c r="B8" s="3"/>
      <c r="C8" s="3"/>
      <c r="D8" s="3"/>
      <c r="E8" s="3"/>
      <c r="F8" s="3"/>
      <c r="G8" s="3"/>
      <c r="H8" s="3"/>
    </row>
    <row r="9" spans="1:8">
      <c r="A9" s="3"/>
      <c r="B9" s="3"/>
      <c r="C9" s="3"/>
      <c r="D9" s="3"/>
      <c r="E9" s="3"/>
      <c r="F9" s="3"/>
      <c r="G9" s="3"/>
      <c r="H9" s="3"/>
    </row>
    <row r="10" spans="1:8">
      <c r="A10" s="3"/>
      <c r="B10" s="3"/>
      <c r="C10" s="3"/>
      <c r="D10" s="3"/>
      <c r="E10" s="3"/>
      <c r="F10" s="3"/>
      <c r="G10" s="3"/>
      <c r="H10" s="3"/>
    </row>
    <row r="11" spans="1:8">
      <c r="A11" s="3"/>
      <c r="B11" s="3"/>
      <c r="C11" s="3"/>
      <c r="D11" s="3"/>
      <c r="E11" s="3"/>
      <c r="F11" s="3"/>
      <c r="G11" s="3"/>
      <c r="H11" s="3"/>
    </row>
    <row r="12" spans="1:8">
      <c r="A12" s="3"/>
      <c r="B12" s="3"/>
      <c r="C12" s="3"/>
      <c r="D12" s="3"/>
      <c r="E12" s="3"/>
      <c r="F12" s="3"/>
      <c r="G12" s="3"/>
      <c r="H12" s="3"/>
    </row>
    <row r="13" spans="1:8">
      <c r="A13" s="3"/>
      <c r="B13" s="3"/>
      <c r="C13" s="3"/>
      <c r="D13" s="3"/>
      <c r="E13" s="3"/>
      <c r="F13" s="3"/>
      <c r="G13" s="3"/>
      <c r="H13" s="3"/>
    </row>
    <row r="14" spans="1:8">
      <c r="A14" s="3"/>
      <c r="B14" s="3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>
      <c r="A16" s="3"/>
      <c r="B16" s="3"/>
      <c r="C16" s="3"/>
      <c r="D16" s="3"/>
      <c r="E16" s="3"/>
      <c r="F16" s="3"/>
      <c r="G16" s="3"/>
      <c r="H16" s="3"/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ConversionFactor</vt:lpstr>
      <vt:lpstr>Instructions</vt:lpstr>
      <vt:lpstr>About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Chance</dc:creator>
  <cp:lastModifiedBy>Robert Brooks</cp:lastModifiedBy>
  <cp:lastPrinted>2002-12-04T18:35:55Z</cp:lastPrinted>
  <dcterms:created xsi:type="dcterms:W3CDTF">1996-01-29T14:49:34Z</dcterms:created>
  <dcterms:modified xsi:type="dcterms:W3CDTF">2014-05-06T18:13:24Z</dcterms:modified>
</cp:coreProperties>
</file>