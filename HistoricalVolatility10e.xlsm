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90" windowWidth="9375" windowHeight="4965"/>
  </bookViews>
  <sheets>
    <sheet name="Historical Volatility" sheetId="1" r:id="rId1"/>
    <sheet name="Instructions" sheetId="3" r:id="rId2"/>
    <sheet name="About" sheetId="2" r:id="rId3"/>
  </sheets>
  <definedNames>
    <definedName name="datafreq">'Historical Volatility'!$D$52</definedName>
    <definedName name="dfreq">'Historical Volatility'!#REF!</definedName>
  </definedNames>
  <calcPr calcId="145621"/>
</workbook>
</file>

<file path=xl/calcChain.xml><?xml version="1.0" encoding="utf-8"?>
<calcChain xmlns="http://schemas.openxmlformats.org/spreadsheetml/2006/main">
  <c r="D52" i="1" l="1"/>
  <c r="E19" i="1"/>
  <c r="G14" i="1"/>
  <c r="E20" i="1"/>
  <c r="F20" i="1"/>
  <c r="E21" i="1"/>
  <c r="E22" i="1"/>
  <c r="E23" i="1"/>
  <c r="F23" i="1"/>
  <c r="E24" i="1"/>
  <c r="E25" i="1"/>
  <c r="F25" i="1"/>
  <c r="E26" i="1"/>
  <c r="E27" i="1"/>
  <c r="E28" i="1"/>
  <c r="E29" i="1"/>
  <c r="F29" i="1"/>
  <c r="E30" i="1"/>
  <c r="F30" i="1"/>
  <c r="E31" i="1"/>
  <c r="E32" i="1"/>
  <c r="F32" i="1"/>
  <c r="E33" i="1"/>
  <c r="F33" i="1"/>
  <c r="E34" i="1"/>
  <c r="E35" i="1"/>
  <c r="F35" i="1"/>
  <c r="E36" i="1"/>
  <c r="E37" i="1"/>
  <c r="E38" i="1"/>
  <c r="E39" i="1"/>
  <c r="F39" i="1"/>
  <c r="E40" i="1"/>
  <c r="E41" i="1"/>
  <c r="F41" i="1"/>
  <c r="E42" i="1"/>
  <c r="E43" i="1"/>
  <c r="E45" i="1"/>
  <c r="D43" i="1"/>
  <c r="D42" i="1"/>
  <c r="D41" i="1"/>
  <c r="D40" i="1"/>
  <c r="D39" i="1"/>
  <c r="D38" i="1"/>
  <c r="D37" i="1"/>
  <c r="D36" i="1"/>
  <c r="D35" i="1"/>
  <c r="D34" i="1"/>
  <c r="D33" i="1"/>
  <c r="D32" i="1"/>
  <c r="D31" i="1"/>
  <c r="D30" i="1"/>
  <c r="D29" i="1"/>
  <c r="D28" i="1"/>
  <c r="D27" i="1"/>
  <c r="D26" i="1"/>
  <c r="D25" i="1"/>
  <c r="D24" i="1"/>
  <c r="D23" i="1"/>
  <c r="D22" i="1"/>
  <c r="D21" i="1"/>
  <c r="D20" i="1"/>
  <c r="D19" i="1"/>
  <c r="H14" i="1"/>
  <c r="F34" i="1"/>
  <c r="F28" i="1"/>
  <c r="F22" i="1"/>
  <c r="F38" i="1"/>
  <c r="F31" i="1"/>
  <c r="F40" i="1"/>
  <c r="F24" i="1"/>
  <c r="F26" i="1"/>
  <c r="F42" i="1"/>
  <c r="F21" i="1"/>
  <c r="F37" i="1"/>
  <c r="F43" i="1"/>
  <c r="F27" i="1"/>
  <c r="F36" i="1"/>
  <c r="F19" i="1"/>
  <c r="F45" i="1"/>
  <c r="G12" i="1"/>
  <c r="G13" i="1"/>
  <c r="H12" i="1"/>
  <c r="H13" i="1"/>
</calcChain>
</file>

<file path=xl/sharedStrings.xml><?xml version="1.0" encoding="utf-8"?>
<sst xmlns="http://schemas.openxmlformats.org/spreadsheetml/2006/main" count="29" uniqueCount="24">
  <si>
    <t>Inputs:</t>
  </si>
  <si>
    <t>Results:</t>
  </si>
  <si>
    <t>Enter the data frequency:</t>
  </si>
  <si>
    <t>Periodic</t>
  </si>
  <si>
    <t>Annualized</t>
  </si>
  <si>
    <t>Variance</t>
  </si>
  <si>
    <t>Standard Deviation</t>
  </si>
  <si>
    <t>Mean</t>
  </si>
  <si>
    <t>Obs.</t>
  </si>
  <si>
    <t>Date</t>
  </si>
  <si>
    <t>NA</t>
  </si>
  <si>
    <t>=========</t>
  </si>
  <si>
    <t>===========</t>
  </si>
  <si>
    <t>==========</t>
  </si>
  <si>
    <t>Totals</t>
  </si>
  <si>
    <t>daily</t>
  </si>
  <si>
    <t>weekly</t>
  </si>
  <si>
    <t>monthly</t>
  </si>
  <si>
    <t>yearly</t>
  </si>
  <si>
    <t>Do not change the items below******************************</t>
  </si>
  <si>
    <t>Asset Price</t>
  </si>
  <si>
    <t>Simple Rate of Return</t>
  </si>
  <si>
    <t>Continuously Compounded Rate of Return</t>
  </si>
  <si>
    <t>Squared Deviation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</si>
</sst>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
    <numFmt numFmtId="165" formatCode="0.000000"/>
  </numFmts>
  <fonts count="5" x14ac:knownFonts="1">
    <font>
      <sz val="10"/>
      <name val="Arial"/>
    </font>
    <font>
      <sz val="10"/>
      <name val="Arial"/>
      <family val="2"/>
    </font>
    <font>
      <b/>
      <sz val="12"/>
      <name val="Arial"/>
      <family val="2"/>
    </font>
    <font>
      <sz val="10"/>
      <color indexed="12"/>
      <name val="Arial"/>
      <family val="2"/>
    </font>
    <font>
      <sz val="10"/>
      <name val="Arial"/>
      <family val="2"/>
    </font>
  </fonts>
  <fills count="5">
    <fill>
      <patternFill patternType="none"/>
    </fill>
    <fill>
      <patternFill patternType="gray125"/>
    </fill>
    <fill>
      <patternFill patternType="solid">
        <fgColor indexed="26"/>
        <bgColor indexed="64"/>
      </patternFill>
    </fill>
    <fill>
      <patternFill patternType="solid">
        <fgColor rgb="FF00B0F0"/>
        <bgColor indexed="64"/>
      </patternFill>
    </fill>
    <fill>
      <patternFill patternType="solid">
        <fgColor rgb="FFFFFF00"/>
        <bgColor indexed="64"/>
      </patternFill>
    </fill>
  </fills>
  <borders count="17">
    <border>
      <left/>
      <right/>
      <top/>
      <bottom/>
      <diagonal/>
    </border>
    <border>
      <left/>
      <right/>
      <top/>
      <bottom style="thin">
        <color indexed="64"/>
      </bottom>
      <diagonal/>
    </border>
    <border>
      <left/>
      <right style="thin">
        <color indexed="64"/>
      </right>
      <top/>
      <bottom style="thin">
        <color indexed="64"/>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s>
  <cellStyleXfs count="2">
    <xf numFmtId="0" fontId="0" fillId="0" borderId="0"/>
    <xf numFmtId="9" fontId="1" fillId="0" borderId="0" applyFont="0" applyFill="0" applyBorder="0" applyAlignment="0" applyProtection="0"/>
  </cellStyleXfs>
  <cellXfs count="36">
    <xf numFmtId="0" fontId="0" fillId="0" borderId="0" xfId="0"/>
    <xf numFmtId="0" fontId="0" fillId="2" borderId="1" xfId="0" applyFill="1" applyBorder="1"/>
    <xf numFmtId="0" fontId="0" fillId="2" borderId="2" xfId="0" applyFill="1" applyBorder="1"/>
    <xf numFmtId="0" fontId="0" fillId="0" borderId="0" xfId="0" applyProtection="1">
      <protection hidden="1"/>
    </xf>
    <xf numFmtId="0" fontId="0" fillId="3" borderId="0" xfId="0" applyFill="1"/>
    <xf numFmtId="0" fontId="0" fillId="3" borderId="3" xfId="0" applyFill="1" applyBorder="1"/>
    <xf numFmtId="0" fontId="2" fillId="3" borderId="0" xfId="0" applyFont="1" applyFill="1"/>
    <xf numFmtId="0" fontId="0" fillId="3" borderId="4" xfId="0" applyFill="1" applyBorder="1"/>
    <xf numFmtId="0" fontId="0" fillId="3" borderId="5" xfId="0" applyFill="1" applyBorder="1"/>
    <xf numFmtId="0" fontId="0" fillId="4" borderId="0" xfId="0" applyFill="1"/>
    <xf numFmtId="0" fontId="2" fillId="4" borderId="0" xfId="0" applyFont="1" applyFill="1"/>
    <xf numFmtId="0" fontId="0" fillId="4" borderId="6" xfId="0" applyFill="1" applyBorder="1"/>
    <xf numFmtId="0" fontId="0" fillId="4" borderId="0" xfId="0" applyFill="1" applyAlignment="1">
      <alignment horizontal="left"/>
    </xf>
    <xf numFmtId="0" fontId="0" fillId="4" borderId="0" xfId="0" applyFill="1" applyAlignment="1">
      <alignment horizontal="right"/>
    </xf>
    <xf numFmtId="165" fontId="0" fillId="4" borderId="7" xfId="0" applyNumberFormat="1" applyFill="1" applyBorder="1"/>
    <xf numFmtId="165" fontId="0" fillId="4" borderId="8" xfId="0" applyNumberFormat="1" applyFill="1" applyBorder="1"/>
    <xf numFmtId="10" fontId="4" fillId="4" borderId="9" xfId="1" applyNumberFormat="1" applyFont="1" applyFill="1" applyBorder="1"/>
    <xf numFmtId="10" fontId="4" fillId="4" borderId="2" xfId="1" applyNumberFormat="1" applyFont="1" applyFill="1" applyBorder="1"/>
    <xf numFmtId="0" fontId="0" fillId="4" borderId="8" xfId="0" applyFill="1" applyBorder="1" applyAlignment="1">
      <alignment horizontal="right" wrapText="1"/>
    </xf>
    <xf numFmtId="0" fontId="3" fillId="4" borderId="10" xfId="0" applyFont="1" applyFill="1" applyBorder="1" applyProtection="1">
      <protection locked="0"/>
    </xf>
    <xf numFmtId="16" fontId="3" fillId="4" borderId="11" xfId="0" applyNumberFormat="1" applyFont="1" applyFill="1" applyBorder="1" applyProtection="1">
      <protection locked="0"/>
    </xf>
    <xf numFmtId="164" fontId="3" fillId="4" borderId="12" xfId="0" applyNumberFormat="1" applyFont="1" applyFill="1" applyBorder="1" applyProtection="1">
      <protection locked="0"/>
    </xf>
    <xf numFmtId="0" fontId="0" fillId="4" borderId="8" xfId="0" applyFill="1" applyBorder="1" applyAlignment="1">
      <alignment horizontal="right"/>
    </xf>
    <xf numFmtId="0" fontId="3" fillId="4" borderId="2" xfId="0" applyFont="1" applyFill="1" applyBorder="1" applyProtection="1">
      <protection locked="0"/>
    </xf>
    <xf numFmtId="16" fontId="3" fillId="4" borderId="9" xfId="0" applyNumberFormat="1" applyFont="1" applyFill="1" applyBorder="1" applyProtection="1">
      <protection locked="0"/>
    </xf>
    <xf numFmtId="164" fontId="3" fillId="4" borderId="13" xfId="0" applyNumberFormat="1" applyFont="1" applyFill="1" applyBorder="1" applyProtection="1">
      <protection locked="0"/>
    </xf>
    <xf numFmtId="165" fontId="0" fillId="4" borderId="2" xfId="0" applyNumberFormat="1" applyFill="1" applyBorder="1"/>
    <xf numFmtId="164" fontId="0" fillId="4" borderId="0" xfId="0" applyNumberFormat="1" applyFill="1" applyProtection="1">
      <protection locked="0"/>
    </xf>
    <xf numFmtId="0" fontId="0" fillId="4" borderId="0" xfId="0" quotePrefix="1" applyFill="1" applyAlignment="1">
      <alignment horizontal="right"/>
    </xf>
    <xf numFmtId="0" fontId="3" fillId="4" borderId="14" xfId="0" applyFont="1" applyFill="1" applyBorder="1" applyProtection="1">
      <protection locked="0"/>
    </xf>
    <xf numFmtId="16" fontId="3" fillId="4" borderId="15" xfId="0" applyNumberFormat="1" applyFont="1" applyFill="1" applyBorder="1" applyProtection="1">
      <protection locked="0"/>
    </xf>
    <xf numFmtId="164" fontId="3" fillId="4" borderId="16" xfId="0" applyNumberFormat="1" applyFont="1" applyFill="1" applyBorder="1" applyProtection="1">
      <protection locked="0"/>
    </xf>
    <xf numFmtId="0" fontId="0" fillId="4" borderId="0" xfId="0" quotePrefix="1" applyFill="1"/>
    <xf numFmtId="10" fontId="4" fillId="4" borderId="0" xfId="1" quotePrefix="1" applyNumberFormat="1" applyFont="1" applyFill="1"/>
    <xf numFmtId="165" fontId="0" fillId="4" borderId="0" xfId="0" quotePrefix="1" applyNumberFormat="1" applyFill="1"/>
    <xf numFmtId="0" fontId="0" fillId="4" borderId="8" xfId="0" applyFill="1" applyBorder="1"/>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List" dx="16" fmlaLink="$C$52" fmlaRange="$B$52:$B$55" sel="4" val="0"/>
</file>

<file path=xl/drawings/drawing1.xml><?xml version="1.0" encoding="utf-8"?>
<xdr:wsDr xmlns:xdr="http://schemas.openxmlformats.org/drawingml/2006/spreadsheetDrawing" xmlns:a="http://schemas.openxmlformats.org/drawingml/2006/main">
  <xdr:twoCellAnchor>
    <xdr:from>
      <xdr:col>1</xdr:col>
      <xdr:colOff>457200</xdr:colOff>
      <xdr:row>1</xdr:row>
      <xdr:rowOff>57150</xdr:rowOff>
    </xdr:from>
    <xdr:to>
      <xdr:col>7</xdr:col>
      <xdr:colOff>57150</xdr:colOff>
      <xdr:row>6</xdr:row>
      <xdr:rowOff>47625</xdr:rowOff>
    </xdr:to>
    <xdr:sp macro="" textlink="">
      <xdr:nvSpPr>
        <xdr:cNvPr id="1032" name="Text 8"/>
        <xdr:cNvSpPr>
          <a:spLocks noChangeArrowheads="1"/>
        </xdr:cNvSpPr>
      </xdr:nvSpPr>
      <xdr:spPr bwMode="auto">
        <a:xfrm>
          <a:off x="885825" y="219075"/>
          <a:ext cx="3781425" cy="876300"/>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HISTORICAL VOLATILITY ESTIMATION</a:t>
          </a:r>
        </a:p>
        <a:p>
          <a:pPr algn="ctr" rtl="0">
            <a:defRPr sz="1000"/>
          </a:pPr>
          <a:r>
            <a:rPr lang="en-US" sz="1600" b="1" i="0" u="none" strike="noStrike" baseline="0">
              <a:solidFill>
                <a:srgbClr val="000000"/>
              </a:solidFill>
              <a:latin typeface="Arial"/>
              <a:cs typeface="Arial"/>
            </a:rPr>
            <a:t>10e</a:t>
          </a:r>
        </a:p>
      </xdr:txBody>
    </xdr:sp>
    <xdr:clientData/>
  </xdr:twoCellAnchor>
  <mc:AlternateContent xmlns:mc="http://schemas.openxmlformats.org/markup-compatibility/2006">
    <mc:Choice xmlns:a14="http://schemas.microsoft.com/office/drawing/2010/main" Requires="a14">
      <xdr:twoCellAnchor editAs="oneCell">
        <xdr:from>
          <xdr:col>0</xdr:col>
          <xdr:colOff>400050</xdr:colOff>
          <xdr:row>11</xdr:row>
          <xdr:rowOff>76200</xdr:rowOff>
        </xdr:from>
        <xdr:to>
          <xdr:col>2</xdr:col>
          <xdr:colOff>352425</xdr:colOff>
          <xdr:row>14</xdr:row>
          <xdr:rowOff>123825</xdr:rowOff>
        </xdr:to>
        <xdr:sp macro="" textlink="">
          <xdr:nvSpPr>
            <xdr:cNvPr id="1049" name="List Box 2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314325</xdr:colOff>
      <xdr:row>1</xdr:row>
      <xdr:rowOff>0</xdr:rowOff>
    </xdr:from>
    <xdr:to>
      <xdr:col>8</xdr:col>
      <xdr:colOff>571500</xdr:colOff>
      <xdr:row>19</xdr:row>
      <xdr:rowOff>47625</xdr:rowOff>
    </xdr:to>
    <xdr:sp macro="" textlink="">
      <xdr:nvSpPr>
        <xdr:cNvPr id="3073" name="Text 7"/>
        <xdr:cNvSpPr>
          <a:spLocks noChangeArrowheads="1"/>
        </xdr:cNvSpPr>
      </xdr:nvSpPr>
      <xdr:spPr bwMode="auto">
        <a:xfrm>
          <a:off x="314325" y="161925"/>
          <a:ext cx="5133975" cy="2962275"/>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0" anchor="t" upright="1"/>
        <a:lstStyle/>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Fill in the column labeled "Asset Price".  The columns containing the observation number and date are optional.  Indicate the data frequency with a d, w, m, or y for daily, weekly, monthly or yearly (not case sensitive).  This allows the spreadsheet to convert the periodic standard deviation into an annual standard deviation.  Input cells are bordered by double lines.  Output cells are bordered by single lines.</a:t>
          </a: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To change the number of observations, add or delete rows above the double line (=====).  Copy the formulas in columns, D, E and F of the last row of data onto any new rows you add.  Make sure you do not erase the double line on the row between your last observation and the totals.  If you do, the formulas will not automatically adjust to the number of observations you are using.  Also, be sure there are no additional rows between the double line and the totals.</a:t>
          </a: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Hit F9 to recalculate.</a:t>
          </a:r>
        </a:p>
        <a:p>
          <a:pPr algn="just" rtl="0">
            <a:defRPr sz="1000"/>
          </a:pPr>
          <a:endParaRPr lang="en-US" sz="1000" b="0" i="0" u="none" strike="noStrike" baseline="0">
            <a:solidFill>
              <a:srgbClr val="000000"/>
            </a:solidFill>
            <a:latin typeface="Arial"/>
            <a:cs typeface="Arial"/>
          </a:endParaRPr>
        </a:p>
        <a:p>
          <a:pPr algn="just" rtl="0">
            <a:defRPr sz="1000"/>
          </a:pPr>
          <a:endParaRPr lang="en-US" sz="1000" b="0" i="0" u="none" strike="noStrike" baseline="0">
            <a:solidFill>
              <a:srgbClr val="000000"/>
            </a:solidFill>
            <a:latin typeface="Arial"/>
            <a:cs typeface="Arial"/>
          </a:endParaRPr>
        </a:p>
        <a:p>
          <a:pPr algn="just" rtl="0">
            <a:defRPr sz="1000"/>
          </a:pPr>
          <a:endParaRPr lang="en-US" sz="1000" b="0"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333375</xdr:colOff>
      <xdr:row>0</xdr:row>
      <xdr:rowOff>152400</xdr:rowOff>
    </xdr:from>
    <xdr:to>
      <xdr:col>6</xdr:col>
      <xdr:colOff>342900</xdr:colOff>
      <xdr:row>11</xdr:row>
      <xdr:rowOff>0</xdr:rowOff>
    </xdr:to>
    <xdr:sp macro="" textlink="">
      <xdr:nvSpPr>
        <xdr:cNvPr id="2050" name="Text 16"/>
        <xdr:cNvSpPr>
          <a:spLocks noChangeArrowheads="1"/>
        </xdr:cNvSpPr>
      </xdr:nvSpPr>
      <xdr:spPr bwMode="auto">
        <a:xfrm>
          <a:off x="333375" y="152400"/>
          <a:ext cx="3667125" cy="1628775"/>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Written by Don M. Chance and Robert Brooks</a:t>
          </a:r>
        </a:p>
        <a:p>
          <a:pPr algn="l" rtl="0">
            <a:defRPr sz="1000"/>
          </a:pPr>
          <a:r>
            <a:rPr lang="en-US" sz="1000" b="0" i="0" u="none" strike="noStrike" baseline="0">
              <a:solidFill>
                <a:srgbClr val="000000"/>
              </a:solidFill>
              <a:latin typeface="Arial"/>
              <a:cs typeface="Arial"/>
            </a:rPr>
            <a:t>For use with </a:t>
          </a:r>
          <a:r>
            <a:rPr lang="en-US" sz="1000" b="0" i="1" u="none" strike="noStrike" baseline="0">
              <a:solidFill>
                <a:srgbClr val="000000"/>
              </a:solidFill>
              <a:latin typeface="Arial"/>
              <a:cs typeface="Arial"/>
            </a:rPr>
            <a:t>An Introduction to Derivatives and Risk Management, 10</a:t>
          </a:r>
          <a:r>
            <a:rPr lang="en-US" sz="1000" b="0" i="1" u="none" strike="noStrike" baseline="30000">
              <a:solidFill>
                <a:srgbClr val="000000"/>
              </a:solidFill>
              <a:latin typeface="Arial"/>
              <a:cs typeface="Arial"/>
            </a:rPr>
            <a:t>th </a:t>
          </a:r>
          <a:r>
            <a:rPr lang="en-US" sz="1000" b="0" i="1" u="none" strike="noStrike" baseline="0">
              <a:solidFill>
                <a:srgbClr val="000000"/>
              </a:solidFill>
              <a:latin typeface="Arial"/>
              <a:cs typeface="Arial"/>
            </a:rPr>
            <a:t>ed.</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(Mason, Ohio:  South-Western Thomson, Inc., 2015)</a:t>
          </a:r>
        </a:p>
        <a:p>
          <a:pPr algn="l" rtl="0">
            <a:defRPr sz="1000"/>
          </a:pPr>
          <a:r>
            <a:rPr lang="en-US" sz="1000" b="0" i="0" u="none" strike="noStrike" baseline="0">
              <a:solidFill>
                <a:srgbClr val="000000"/>
              </a:solidFill>
              <a:latin typeface="Arial"/>
              <a:cs typeface="Arial"/>
            </a:rPr>
            <a:t>Date:  7/09</a:t>
          </a:r>
        </a:p>
        <a:p>
          <a:pPr algn="l" rtl="0">
            <a:defRPr sz="1000"/>
          </a:pPr>
          <a:r>
            <a:rPr lang="en-US" sz="1000" b="0" i="0" u="none" strike="noStrike" baseline="0">
              <a:solidFill>
                <a:srgbClr val="000000"/>
              </a:solidFill>
              <a:latin typeface="Arial"/>
              <a:cs typeface="Arial"/>
            </a:rPr>
            <a:t>Last updated:  3/18/14</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u="none" strike="noStrike" baseline="0">
              <a:solidFill>
                <a:srgbClr val="000000"/>
              </a:solidFill>
              <a:latin typeface="Arial"/>
              <a:ea typeface="+mn-ea"/>
              <a:cs typeface="Arial"/>
            </a:rPr>
            <a:t>© 2015 Cengage Learning. All Rights Reserved. May not be scanned, copied or duplicated, or posted to a publicly accessible website, in whole or in part.</a:t>
          </a:r>
        </a:p>
        <a:p>
          <a:pPr algn="l" rtl="0">
            <a:defRPr sz="1000"/>
          </a:pPr>
          <a:endParaRPr lang="en-US" sz="1000" b="0" i="0" u="none" strike="noStrike" baseline="0">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55"/>
  <sheetViews>
    <sheetView tabSelected="1" workbookViewId="0">
      <selection activeCell="R10" sqref="R10"/>
    </sheetView>
  </sheetViews>
  <sheetFormatPr defaultRowHeight="12.75" x14ac:dyDescent="0.2"/>
  <cols>
    <col min="1" max="1" width="6.42578125" customWidth="1"/>
    <col min="5" max="5" width="13.28515625" customWidth="1"/>
    <col min="6" max="6" width="12.140625" customWidth="1"/>
    <col min="7" max="7" width="9.85546875" customWidth="1"/>
    <col min="8" max="8" width="11.140625" customWidth="1"/>
  </cols>
  <sheetData>
    <row r="1" spans="1:10" x14ac:dyDescent="0.2">
      <c r="A1" s="4"/>
      <c r="B1" s="4"/>
      <c r="C1" s="4"/>
      <c r="D1" s="4"/>
      <c r="E1" s="4"/>
      <c r="F1" s="4"/>
      <c r="G1" s="4"/>
      <c r="H1" s="4"/>
      <c r="I1" s="4"/>
      <c r="J1" s="5"/>
    </row>
    <row r="2" spans="1:10" x14ac:dyDescent="0.2">
      <c r="A2" s="4"/>
      <c r="B2" s="4"/>
      <c r="C2" s="4"/>
      <c r="D2" s="4"/>
      <c r="E2" s="4"/>
      <c r="F2" s="4"/>
      <c r="G2" s="4"/>
      <c r="H2" s="4"/>
      <c r="I2" s="4"/>
      <c r="J2" s="5"/>
    </row>
    <row r="3" spans="1:10" ht="15.75" x14ac:dyDescent="0.25">
      <c r="A3" s="4"/>
      <c r="B3" s="4"/>
      <c r="C3" s="6"/>
      <c r="D3" s="4"/>
      <c r="E3" s="4"/>
      <c r="F3" s="4"/>
      <c r="G3" s="4"/>
      <c r="H3" s="4"/>
      <c r="I3" s="4"/>
      <c r="J3" s="5"/>
    </row>
    <row r="4" spans="1:10" ht="15.75" x14ac:dyDescent="0.25">
      <c r="A4" s="4"/>
      <c r="B4" s="4"/>
      <c r="C4" s="6"/>
      <c r="D4" s="4"/>
      <c r="E4" s="4"/>
      <c r="F4" s="4"/>
      <c r="G4" s="4"/>
      <c r="H4" s="4"/>
      <c r="I4" s="4"/>
      <c r="J4" s="5"/>
    </row>
    <row r="5" spans="1:10" x14ac:dyDescent="0.2">
      <c r="A5" s="4"/>
      <c r="B5" s="4"/>
      <c r="C5" s="4"/>
      <c r="D5" s="4"/>
      <c r="E5" s="4"/>
      <c r="F5" s="4"/>
      <c r="G5" s="4"/>
      <c r="H5" s="4"/>
      <c r="I5" s="4"/>
      <c r="J5" s="5"/>
    </row>
    <row r="6" spans="1:10" x14ac:dyDescent="0.2">
      <c r="A6" s="4"/>
      <c r="B6" s="4"/>
      <c r="C6" s="4"/>
      <c r="D6" s="4"/>
      <c r="E6" s="4"/>
      <c r="F6" s="4"/>
      <c r="G6" s="4"/>
      <c r="H6" s="4"/>
      <c r="I6" s="4"/>
      <c r="J6" s="5"/>
    </row>
    <row r="7" spans="1:10" x14ac:dyDescent="0.2">
      <c r="A7" s="4"/>
      <c r="B7" s="4"/>
      <c r="C7" s="4"/>
      <c r="D7" s="4"/>
      <c r="E7" s="4"/>
      <c r="F7" s="4"/>
      <c r="G7" s="4"/>
      <c r="H7" s="4"/>
      <c r="I7" s="4"/>
      <c r="J7" s="5"/>
    </row>
    <row r="8" spans="1:10" ht="13.5" thickBot="1" x14ac:dyDescent="0.25">
      <c r="A8" s="7"/>
      <c r="B8" s="7"/>
      <c r="C8" s="7"/>
      <c r="D8" s="7"/>
      <c r="E8" s="7"/>
      <c r="F8" s="7"/>
      <c r="G8" s="7"/>
      <c r="H8" s="7"/>
      <c r="I8" s="7"/>
      <c r="J8" s="8"/>
    </row>
    <row r="9" spans="1:10" ht="13.5" thickTop="1" x14ac:dyDescent="0.2">
      <c r="A9" s="9"/>
      <c r="B9" s="9"/>
      <c r="C9" s="9"/>
      <c r="D9" s="9"/>
      <c r="E9" s="9"/>
      <c r="F9" s="9"/>
      <c r="G9" s="9"/>
      <c r="H9" s="9"/>
      <c r="I9" s="9"/>
      <c r="J9" s="11"/>
    </row>
    <row r="10" spans="1:10" ht="15.75" x14ac:dyDescent="0.25">
      <c r="A10" s="10" t="s">
        <v>0</v>
      </c>
      <c r="B10" s="9"/>
      <c r="C10" s="9"/>
      <c r="D10" s="9"/>
      <c r="E10" s="10" t="s">
        <v>1</v>
      </c>
      <c r="F10" s="9"/>
      <c r="G10" s="9"/>
      <c r="H10" s="9"/>
      <c r="I10" s="9"/>
      <c r="J10" s="11"/>
    </row>
    <row r="11" spans="1:10" x14ac:dyDescent="0.2">
      <c r="A11" s="9" t="s">
        <v>2</v>
      </c>
      <c r="B11" s="12"/>
      <c r="C11" s="9"/>
      <c r="D11" s="9"/>
      <c r="E11" s="9"/>
      <c r="F11" s="9"/>
      <c r="G11" s="13" t="s">
        <v>3</v>
      </c>
      <c r="H11" s="13" t="s">
        <v>4</v>
      </c>
      <c r="I11" s="9"/>
      <c r="J11" s="11"/>
    </row>
    <row r="12" spans="1:10" x14ac:dyDescent="0.2">
      <c r="A12" s="9"/>
      <c r="B12" s="12"/>
      <c r="C12" s="9"/>
      <c r="D12" s="9"/>
      <c r="E12" s="9" t="s">
        <v>5</v>
      </c>
      <c r="F12" s="9"/>
      <c r="G12" s="14">
        <f>F45/(E45-1)</f>
        <v>1.2789956641314527E-2</v>
      </c>
      <c r="H12" s="15">
        <f>IF(datafreq="d",250,IF(datafreq="w",52,IF(datafreq="m",12,IF(datafreq="y",1))))*G12</f>
        <v>1.2789956641314527E-2</v>
      </c>
      <c r="I12" s="9"/>
      <c r="J12" s="11"/>
    </row>
    <row r="13" spans="1:10" x14ac:dyDescent="0.2">
      <c r="A13" s="9"/>
      <c r="B13" s="12"/>
      <c r="C13" s="9"/>
      <c r="D13" s="9"/>
      <c r="E13" s="9" t="s">
        <v>6</v>
      </c>
      <c r="F13" s="9"/>
      <c r="G13" s="16">
        <f>SQRT(G12)</f>
        <v>0.11309269048578925</v>
      </c>
      <c r="H13" s="17">
        <f>SQRT(H12)</f>
        <v>0.11309269048578925</v>
      </c>
      <c r="I13" s="9"/>
      <c r="J13" s="11"/>
    </row>
    <row r="14" spans="1:10" x14ac:dyDescent="0.2">
      <c r="A14" s="9"/>
      <c r="B14" s="12"/>
      <c r="C14" s="9"/>
      <c r="D14" s="9"/>
      <c r="E14" s="9" t="s">
        <v>7</v>
      </c>
      <c r="F14" s="9"/>
      <c r="G14" s="16">
        <f>AVERAGE(E19:E44)</f>
        <v>4.3291173385842374E-2</v>
      </c>
      <c r="H14" s="17">
        <f>IF(datafreq="d",250,IF(datafreq="w",52,IF(datafreq="m",12,IF(datafreq="y",1))))*G14</f>
        <v>4.3291173385842374E-2</v>
      </c>
      <c r="I14" s="9"/>
      <c r="J14" s="11"/>
    </row>
    <row r="15" spans="1:10" x14ac:dyDescent="0.2">
      <c r="A15" s="9"/>
      <c r="B15" s="12"/>
      <c r="C15" s="9"/>
      <c r="D15" s="9"/>
      <c r="E15" s="9"/>
      <c r="F15" s="9"/>
      <c r="G15" s="9"/>
      <c r="H15" s="9"/>
      <c r="I15" s="9"/>
      <c r="J15" s="11"/>
    </row>
    <row r="16" spans="1:10" x14ac:dyDescent="0.2">
      <c r="A16" s="9"/>
      <c r="B16" s="9"/>
      <c r="C16" s="9"/>
      <c r="D16" s="9"/>
      <c r="E16" s="9"/>
      <c r="F16" s="9"/>
      <c r="G16" s="9"/>
      <c r="H16" s="9"/>
      <c r="I16" s="9"/>
      <c r="J16" s="11"/>
    </row>
    <row r="17" spans="1:10" ht="39" thickBot="1" x14ac:dyDescent="0.25">
      <c r="A17" s="18" t="s">
        <v>8</v>
      </c>
      <c r="B17" s="18" t="s">
        <v>9</v>
      </c>
      <c r="C17" s="18" t="s">
        <v>20</v>
      </c>
      <c r="D17" s="18" t="s">
        <v>21</v>
      </c>
      <c r="E17" s="18" t="s">
        <v>22</v>
      </c>
      <c r="F17" s="18" t="s">
        <v>23</v>
      </c>
      <c r="G17" s="9"/>
      <c r="H17" s="9"/>
      <c r="I17" s="9"/>
      <c r="J17" s="11"/>
    </row>
    <row r="18" spans="1:10" ht="13.5" thickTop="1" x14ac:dyDescent="0.2">
      <c r="A18" s="19">
        <v>1</v>
      </c>
      <c r="B18" s="20">
        <v>36484</v>
      </c>
      <c r="C18" s="21">
        <v>42.4375</v>
      </c>
      <c r="D18" s="22" t="s">
        <v>10</v>
      </c>
      <c r="E18" s="22" t="s">
        <v>10</v>
      </c>
      <c r="F18" s="22" t="s">
        <v>10</v>
      </c>
      <c r="G18" s="9"/>
      <c r="H18" s="9"/>
      <c r="I18" s="9"/>
      <c r="J18" s="11"/>
    </row>
    <row r="19" spans="1:10" x14ac:dyDescent="0.2">
      <c r="A19" s="23">
        <v>2</v>
      </c>
      <c r="B19" s="24">
        <v>36491</v>
      </c>
      <c r="C19" s="25">
        <v>47.4375</v>
      </c>
      <c r="D19" s="17">
        <f>(C19/C18)-1</f>
        <v>0.11782032400589104</v>
      </c>
      <c r="E19" s="17">
        <f>LN(C19/C18)</f>
        <v>0.11138064983693383</v>
      </c>
      <c r="F19" s="26">
        <f t="shared" ref="F19:F43" si="0">(E19-$G$14)^2</f>
        <v>4.6361768033837377E-3</v>
      </c>
      <c r="G19" s="9"/>
      <c r="H19" s="9"/>
      <c r="I19" s="9"/>
      <c r="J19" s="11"/>
    </row>
    <row r="20" spans="1:10" x14ac:dyDescent="0.2">
      <c r="A20" s="23">
        <v>3</v>
      </c>
      <c r="B20" s="24">
        <v>36498</v>
      </c>
      <c r="C20" s="25">
        <v>44</v>
      </c>
      <c r="D20" s="17">
        <f t="shared" ref="D20:D35" si="1">(C20/C19)-1</f>
        <v>-7.2463768115942018E-2</v>
      </c>
      <c r="E20" s="17">
        <f t="shared" ref="E20:E35" si="2">LN(C20/C19)</f>
        <v>-7.5223421237587518E-2</v>
      </c>
      <c r="F20" s="26">
        <f t="shared" si="0"/>
        <v>1.4045709138755918E-2</v>
      </c>
      <c r="G20" s="27"/>
      <c r="H20" s="9"/>
      <c r="I20" s="9"/>
      <c r="J20" s="11"/>
    </row>
    <row r="21" spans="1:10" x14ac:dyDescent="0.2">
      <c r="A21" s="23">
        <v>4</v>
      </c>
      <c r="B21" s="24">
        <v>36505</v>
      </c>
      <c r="C21" s="25">
        <v>45.78125</v>
      </c>
      <c r="D21" s="17">
        <f t="shared" si="1"/>
        <v>4.0482954545454586E-2</v>
      </c>
      <c r="E21" s="17">
        <f t="shared" si="2"/>
        <v>3.9684984733180009E-2</v>
      </c>
      <c r="F21" s="26">
        <f t="shared" si="0"/>
        <v>1.3004596598590803E-5</v>
      </c>
      <c r="G21" s="27"/>
      <c r="H21" s="9"/>
      <c r="I21" s="9"/>
      <c r="J21" s="11"/>
    </row>
    <row r="22" spans="1:10" x14ac:dyDescent="0.2">
      <c r="A22" s="23">
        <v>5</v>
      </c>
      <c r="B22" s="24">
        <v>36512</v>
      </c>
      <c r="C22" s="25">
        <v>52.125</v>
      </c>
      <c r="D22" s="17">
        <f t="shared" si="1"/>
        <v>0.13856655290102382</v>
      </c>
      <c r="E22" s="17">
        <f t="shared" si="2"/>
        <v>0.12977006146752432</v>
      </c>
      <c r="F22" s="26">
        <f t="shared" si="0"/>
        <v>7.4785980838440709E-3</v>
      </c>
      <c r="G22" s="9"/>
      <c r="H22" s="9"/>
      <c r="I22" s="9"/>
      <c r="J22" s="11"/>
    </row>
    <row r="23" spans="1:10" ht="12.75" customHeight="1" x14ac:dyDescent="0.25">
      <c r="A23" s="23">
        <v>6</v>
      </c>
      <c r="B23" s="24">
        <v>36518</v>
      </c>
      <c r="C23" s="25">
        <v>68.3125</v>
      </c>
      <c r="D23" s="17">
        <f t="shared" si="1"/>
        <v>0.31055155875299767</v>
      </c>
      <c r="E23" s="17">
        <f t="shared" si="2"/>
        <v>0.27044808581779184</v>
      </c>
      <c r="F23" s="26">
        <f t="shared" si="0"/>
        <v>5.1600262865616357E-2</v>
      </c>
      <c r="G23" s="10"/>
      <c r="H23" s="9"/>
      <c r="I23" s="9"/>
      <c r="J23" s="11"/>
    </row>
    <row r="24" spans="1:10" ht="12.75" customHeight="1" x14ac:dyDescent="0.25">
      <c r="A24" s="23">
        <v>7</v>
      </c>
      <c r="B24" s="24">
        <v>36525</v>
      </c>
      <c r="C24" s="25">
        <v>77.5625</v>
      </c>
      <c r="D24" s="17">
        <f t="shared" si="1"/>
        <v>0.13540713632204948</v>
      </c>
      <c r="E24" s="17">
        <f t="shared" si="2"/>
        <v>0.12699129702806872</v>
      </c>
      <c r="F24" s="26">
        <f t="shared" si="0"/>
        <v>7.0057106977239776E-3</v>
      </c>
      <c r="G24" s="10"/>
      <c r="H24" s="9"/>
      <c r="I24" s="9"/>
      <c r="J24" s="11"/>
    </row>
    <row r="25" spans="1:10" ht="12.75" customHeight="1" x14ac:dyDescent="0.25">
      <c r="A25" s="23">
        <v>8</v>
      </c>
      <c r="B25" s="24">
        <v>36168</v>
      </c>
      <c r="C25" s="25">
        <v>73.25</v>
      </c>
      <c r="D25" s="17">
        <f t="shared" si="1"/>
        <v>-5.5600322320709106E-2</v>
      </c>
      <c r="E25" s="17">
        <f t="shared" si="2"/>
        <v>-5.7205815067649282E-2</v>
      </c>
      <c r="F25" s="26">
        <f t="shared" si="0"/>
        <v>1.0099644688221235E-2</v>
      </c>
      <c r="G25" s="10"/>
      <c r="H25" s="9"/>
      <c r="I25" s="9"/>
      <c r="J25" s="11"/>
    </row>
    <row r="26" spans="1:10" ht="12.75" customHeight="1" x14ac:dyDescent="0.25">
      <c r="A26" s="23">
        <v>9</v>
      </c>
      <c r="B26" s="24">
        <v>36175</v>
      </c>
      <c r="C26" s="25">
        <v>73.25</v>
      </c>
      <c r="D26" s="17">
        <f t="shared" si="1"/>
        <v>0</v>
      </c>
      <c r="E26" s="17">
        <f t="shared" si="2"/>
        <v>0</v>
      </c>
      <c r="F26" s="26">
        <f t="shared" si="0"/>
        <v>1.8741256931230671E-3</v>
      </c>
      <c r="G26" s="10"/>
      <c r="H26" s="9"/>
      <c r="I26" s="9"/>
      <c r="J26" s="11"/>
    </row>
    <row r="27" spans="1:10" ht="12.75" customHeight="1" x14ac:dyDescent="0.25">
      <c r="A27" s="23">
        <v>10</v>
      </c>
      <c r="B27" s="24">
        <v>36182</v>
      </c>
      <c r="C27" s="25">
        <v>70.21875</v>
      </c>
      <c r="D27" s="17">
        <f t="shared" si="1"/>
        <v>-4.138225255972694E-2</v>
      </c>
      <c r="E27" s="17">
        <f t="shared" si="2"/>
        <v>-4.2262878511574044E-2</v>
      </c>
      <c r="F27" s="26">
        <f t="shared" si="0"/>
        <v>7.3194957960658205E-3</v>
      </c>
      <c r="G27" s="10"/>
      <c r="H27" s="9"/>
      <c r="I27" s="9"/>
      <c r="J27" s="11"/>
    </row>
    <row r="28" spans="1:10" ht="12.75" customHeight="1" x14ac:dyDescent="0.25">
      <c r="A28" s="23">
        <v>11</v>
      </c>
      <c r="B28" s="24">
        <v>36189</v>
      </c>
      <c r="C28" s="25">
        <v>87.875</v>
      </c>
      <c r="D28" s="17">
        <f t="shared" si="1"/>
        <v>0.25144637294170002</v>
      </c>
      <c r="E28" s="17">
        <f t="shared" si="2"/>
        <v>0.22429998074522633</v>
      </c>
      <c r="F28" s="26">
        <f t="shared" si="0"/>
        <v>3.276418834166657E-2</v>
      </c>
      <c r="G28" s="10"/>
      <c r="H28" s="9"/>
      <c r="I28" s="9"/>
      <c r="J28" s="11"/>
    </row>
    <row r="29" spans="1:10" ht="12.75" customHeight="1" x14ac:dyDescent="0.25">
      <c r="A29" s="23">
        <v>12</v>
      </c>
      <c r="B29" s="24">
        <v>36196</v>
      </c>
      <c r="C29" s="25">
        <v>82</v>
      </c>
      <c r="D29" s="17">
        <f t="shared" si="1"/>
        <v>-6.6856330014224752E-2</v>
      </c>
      <c r="E29" s="17">
        <f t="shared" si="2"/>
        <v>-6.9196102866575862E-2</v>
      </c>
      <c r="F29" s="26">
        <f t="shared" si="0"/>
        <v>1.2653387318687856E-2</v>
      </c>
      <c r="G29" s="10"/>
      <c r="H29" s="9"/>
      <c r="I29" s="9"/>
      <c r="J29" s="11"/>
    </row>
    <row r="30" spans="1:10" ht="12.75" customHeight="1" x14ac:dyDescent="0.25">
      <c r="A30" s="23">
        <v>13</v>
      </c>
      <c r="B30" s="24">
        <v>36203</v>
      </c>
      <c r="C30" s="25">
        <v>79.25</v>
      </c>
      <c r="D30" s="17">
        <f t="shared" si="1"/>
        <v>-3.3536585365853688E-2</v>
      </c>
      <c r="E30" s="17">
        <f t="shared" si="2"/>
        <v>-3.4111834506863149E-2</v>
      </c>
      <c r="F30" s="26">
        <f t="shared" si="0"/>
        <v>5.9912256308382325E-3</v>
      </c>
      <c r="G30" s="10"/>
      <c r="H30" s="9"/>
      <c r="I30" s="9"/>
      <c r="J30" s="11"/>
    </row>
    <row r="31" spans="1:10" ht="12.75" customHeight="1" x14ac:dyDescent="0.25">
      <c r="A31" s="23">
        <v>14</v>
      </c>
      <c r="B31" s="24">
        <v>36210</v>
      </c>
      <c r="C31" s="25">
        <v>80.1875</v>
      </c>
      <c r="D31" s="17">
        <f t="shared" si="1"/>
        <v>1.1829652996845352E-2</v>
      </c>
      <c r="E31" s="17">
        <f t="shared" si="2"/>
        <v>1.1760229618465122E-2</v>
      </c>
      <c r="F31" s="26">
        <f t="shared" si="0"/>
        <v>9.9420041486150625E-4</v>
      </c>
      <c r="G31" s="10"/>
      <c r="H31" s="9"/>
      <c r="I31" s="9"/>
      <c r="J31" s="11"/>
    </row>
    <row r="32" spans="1:10" ht="12.75" customHeight="1" x14ac:dyDescent="0.25">
      <c r="A32" s="23">
        <v>15</v>
      </c>
      <c r="B32" s="24">
        <v>36217</v>
      </c>
      <c r="C32" s="25">
        <v>88.9375</v>
      </c>
      <c r="D32" s="17">
        <f t="shared" si="1"/>
        <v>0.1091192517537023</v>
      </c>
      <c r="E32" s="17">
        <f t="shared" si="2"/>
        <v>0.10356623347421598</v>
      </c>
      <c r="F32" s="26">
        <f t="shared" si="0"/>
        <v>3.6330828686570488E-3</v>
      </c>
      <c r="G32" s="10"/>
      <c r="H32" s="9"/>
      <c r="I32" s="9"/>
      <c r="J32" s="11"/>
    </row>
    <row r="33" spans="1:10" ht="12.75" customHeight="1" x14ac:dyDescent="0.25">
      <c r="A33" s="23">
        <v>16</v>
      </c>
      <c r="B33" s="24">
        <v>36224</v>
      </c>
      <c r="C33" s="25">
        <v>86.9375</v>
      </c>
      <c r="D33" s="17">
        <f t="shared" si="1"/>
        <v>-2.2487702037948032E-2</v>
      </c>
      <c r="E33" s="17">
        <f t="shared" si="2"/>
        <v>-2.2744406166409496E-2</v>
      </c>
      <c r="F33" s="26">
        <f t="shared" si="0"/>
        <v>4.3606977668017846E-3</v>
      </c>
      <c r="G33" s="10"/>
      <c r="H33" s="9"/>
      <c r="I33" s="9"/>
      <c r="J33" s="11"/>
    </row>
    <row r="34" spans="1:10" ht="12.75" customHeight="1" x14ac:dyDescent="0.25">
      <c r="A34" s="23">
        <v>17</v>
      </c>
      <c r="B34" s="24">
        <v>36231</v>
      </c>
      <c r="C34" s="25">
        <v>96.125</v>
      </c>
      <c r="D34" s="17">
        <f t="shared" si="1"/>
        <v>0.10567936736161032</v>
      </c>
      <c r="E34" s="17">
        <f t="shared" si="2"/>
        <v>0.10045995814214635</v>
      </c>
      <c r="F34" s="26">
        <f t="shared" si="0"/>
        <v>3.2682699505126142E-3</v>
      </c>
      <c r="G34" s="10"/>
      <c r="H34" s="9"/>
      <c r="I34" s="9"/>
      <c r="J34" s="11"/>
    </row>
    <row r="35" spans="1:10" ht="12.75" customHeight="1" x14ac:dyDescent="0.25">
      <c r="A35" s="23">
        <v>18</v>
      </c>
      <c r="B35" s="24">
        <v>36238</v>
      </c>
      <c r="C35" s="25">
        <v>119.25</v>
      </c>
      <c r="D35" s="17">
        <f t="shared" si="1"/>
        <v>0.24057217165149547</v>
      </c>
      <c r="E35" s="17">
        <f t="shared" si="2"/>
        <v>0.21557270194264258</v>
      </c>
      <c r="F35" s="26">
        <f t="shared" si="0"/>
        <v>2.9680925081867565E-2</v>
      </c>
      <c r="G35" s="10"/>
      <c r="H35" s="9"/>
      <c r="I35" s="9"/>
      <c r="J35" s="11"/>
    </row>
    <row r="36" spans="1:10" ht="12.75" customHeight="1" x14ac:dyDescent="0.25">
      <c r="A36" s="23">
        <v>19</v>
      </c>
      <c r="B36" s="24">
        <v>36245</v>
      </c>
      <c r="C36" s="25">
        <v>125.688</v>
      </c>
      <c r="D36" s="17">
        <f t="shared" ref="D36:D43" si="3">(C36/C35)-1</f>
        <v>5.398742138364776E-2</v>
      </c>
      <c r="E36" s="17">
        <f t="shared" ref="E36:E43" si="4">LN(C36/C35)</f>
        <v>5.2580515876845618E-2</v>
      </c>
      <c r="F36" s="26">
        <f t="shared" si="0"/>
        <v>8.6291883915158357E-5</v>
      </c>
      <c r="G36" s="10"/>
      <c r="H36" s="9"/>
      <c r="I36" s="9"/>
      <c r="J36" s="11"/>
    </row>
    <row r="37" spans="1:10" ht="12.75" customHeight="1" x14ac:dyDescent="0.25">
      <c r="A37" s="23">
        <v>20</v>
      </c>
      <c r="B37" s="24">
        <v>36251</v>
      </c>
      <c r="C37" s="25">
        <v>150</v>
      </c>
      <c r="D37" s="17">
        <f t="shared" si="3"/>
        <v>0.19343135382852772</v>
      </c>
      <c r="E37" s="17">
        <f t="shared" si="4"/>
        <v>0.17683264845095945</v>
      </c>
      <c r="F37" s="26">
        <f t="shared" si="0"/>
        <v>1.7833325562567285E-2</v>
      </c>
      <c r="G37" s="10"/>
      <c r="H37" s="9"/>
      <c r="I37" s="9"/>
      <c r="J37" s="11"/>
    </row>
    <row r="38" spans="1:10" ht="12.75" customHeight="1" x14ac:dyDescent="0.25">
      <c r="A38" s="23">
        <v>21</v>
      </c>
      <c r="B38" s="24">
        <v>36259</v>
      </c>
      <c r="C38" s="25">
        <v>159.93799999999999</v>
      </c>
      <c r="D38" s="17">
        <f t="shared" si="3"/>
        <v>6.6253333333333275E-2</v>
      </c>
      <c r="E38" s="17">
        <f t="shared" si="4"/>
        <v>6.4150946040045301E-2</v>
      </c>
      <c r="F38" s="26">
        <f t="shared" si="0"/>
        <v>4.3513011518503218E-4</v>
      </c>
      <c r="G38" s="10"/>
      <c r="H38" s="9"/>
      <c r="I38" s="9"/>
      <c r="J38" s="11"/>
    </row>
    <row r="39" spans="1:10" ht="12.75" customHeight="1" x14ac:dyDescent="0.25">
      <c r="A39" s="23">
        <v>22</v>
      </c>
      <c r="B39" s="24">
        <v>36266</v>
      </c>
      <c r="C39" s="25">
        <v>139.75</v>
      </c>
      <c r="D39" s="17">
        <f t="shared" si="3"/>
        <v>-0.12622391176580916</v>
      </c>
      <c r="E39" s="17">
        <f t="shared" si="4"/>
        <v>-0.13493112810109245</v>
      </c>
      <c r="F39" s="26">
        <f t="shared" si="0"/>
        <v>3.1763188747299893E-2</v>
      </c>
      <c r="G39" s="10"/>
      <c r="H39" s="9"/>
      <c r="I39" s="9"/>
      <c r="J39" s="11"/>
    </row>
    <row r="40" spans="1:10" ht="12.75" customHeight="1" x14ac:dyDescent="0.25">
      <c r="A40" s="23">
        <v>23</v>
      </c>
      <c r="B40" s="24">
        <v>36273</v>
      </c>
      <c r="C40" s="25">
        <v>147</v>
      </c>
      <c r="D40" s="17">
        <f t="shared" si="3"/>
        <v>5.1878354203935606E-2</v>
      </c>
      <c r="E40" s="17">
        <f t="shared" si="4"/>
        <v>5.0577474743527764E-2</v>
      </c>
      <c r="F40" s="26">
        <f t="shared" si="0"/>
        <v>5.3090187475007959E-5</v>
      </c>
      <c r="G40" s="10"/>
      <c r="H40" s="9"/>
      <c r="I40" s="9"/>
      <c r="J40" s="11"/>
    </row>
    <row r="41" spans="1:10" ht="12.75" customHeight="1" x14ac:dyDescent="0.25">
      <c r="A41" s="23">
        <v>24</v>
      </c>
      <c r="B41" s="24">
        <v>36280</v>
      </c>
      <c r="C41" s="25">
        <v>142.75</v>
      </c>
      <c r="D41" s="17">
        <f t="shared" si="3"/>
        <v>-2.8911564625850317E-2</v>
      </c>
      <c r="E41" s="17">
        <f t="shared" si="4"/>
        <v>-2.9337738242616679E-2</v>
      </c>
      <c r="F41" s="26">
        <f t="shared" si="0"/>
        <v>5.2749588043345145E-3</v>
      </c>
      <c r="G41" s="10"/>
      <c r="H41" s="9"/>
      <c r="I41" s="9"/>
      <c r="J41" s="11"/>
    </row>
    <row r="42" spans="1:10" ht="12.75" customHeight="1" x14ac:dyDescent="0.2">
      <c r="A42" s="23">
        <v>25</v>
      </c>
      <c r="B42" s="24">
        <v>36287</v>
      </c>
      <c r="C42" s="25">
        <v>118.1875</v>
      </c>
      <c r="D42" s="17">
        <f t="shared" si="3"/>
        <v>-0.17206654991243431</v>
      </c>
      <c r="E42" s="17">
        <f t="shared" si="4"/>
        <v>-0.18882250211744331</v>
      </c>
      <c r="F42" s="26">
        <f t="shared" si="0"/>
        <v>5.3876758355644601E-2</v>
      </c>
      <c r="G42" s="28"/>
      <c r="H42" s="9"/>
      <c r="I42" s="9"/>
      <c r="J42" s="11"/>
    </row>
    <row r="43" spans="1:10" ht="12.75" customHeight="1" thickBot="1" x14ac:dyDescent="0.25">
      <c r="A43" s="29">
        <v>26</v>
      </c>
      <c r="B43" s="30">
        <v>36294</v>
      </c>
      <c r="C43" s="31">
        <v>125.25</v>
      </c>
      <c r="D43" s="17">
        <f t="shared" si="3"/>
        <v>5.9756742464304624E-2</v>
      </c>
      <c r="E43" s="17">
        <f t="shared" si="4"/>
        <v>5.8039393546297946E-2</v>
      </c>
      <c r="F43" s="26">
        <f t="shared" si="0"/>
        <v>2.1750999790126816E-4</v>
      </c>
      <c r="G43" s="9"/>
      <c r="H43" s="9"/>
      <c r="I43" s="9"/>
      <c r="J43" s="11"/>
    </row>
    <row r="44" spans="1:10" ht="12.75" customHeight="1" thickTop="1" x14ac:dyDescent="0.2">
      <c r="A44" s="32" t="s">
        <v>11</v>
      </c>
      <c r="B44" s="32" t="s">
        <v>11</v>
      </c>
      <c r="C44" s="32" t="s">
        <v>11</v>
      </c>
      <c r="D44" s="33" t="s">
        <v>11</v>
      </c>
      <c r="E44" s="34" t="s">
        <v>12</v>
      </c>
      <c r="F44" s="34" t="s">
        <v>13</v>
      </c>
      <c r="G44" s="32"/>
      <c r="H44" s="9"/>
      <c r="I44" s="9"/>
      <c r="J44" s="11"/>
    </row>
    <row r="45" spans="1:10" ht="12.75" customHeight="1" x14ac:dyDescent="0.2">
      <c r="A45" s="35"/>
      <c r="B45" s="22" t="s">
        <v>14</v>
      </c>
      <c r="C45" s="35"/>
      <c r="D45" s="35"/>
      <c r="E45" s="35">
        <f>COUNT(E19:E44)</f>
        <v>25</v>
      </c>
      <c r="F45" s="15">
        <f>SUM(F19:F44)</f>
        <v>0.30695895939154866</v>
      </c>
      <c r="G45" s="9"/>
      <c r="H45" s="9"/>
      <c r="I45" s="9"/>
      <c r="J45" s="11"/>
    </row>
    <row r="46" spans="1:10" x14ac:dyDescent="0.2">
      <c r="A46" s="9"/>
      <c r="B46" s="9"/>
      <c r="C46" s="9"/>
      <c r="D46" s="9"/>
      <c r="E46" s="9"/>
      <c r="F46" s="9"/>
      <c r="G46" s="9"/>
      <c r="H46" s="9"/>
      <c r="I46" s="9"/>
      <c r="J46" s="11"/>
    </row>
    <row r="47" spans="1:10" x14ac:dyDescent="0.2">
      <c r="A47" s="9"/>
      <c r="B47" s="9"/>
      <c r="C47" s="9"/>
      <c r="D47" s="9"/>
      <c r="E47" s="9"/>
      <c r="F47" s="9"/>
      <c r="G47" s="9"/>
      <c r="H47" s="9"/>
      <c r="I47" s="9"/>
      <c r="J47" s="11"/>
    </row>
    <row r="48" spans="1:10" x14ac:dyDescent="0.2">
      <c r="A48" s="9"/>
      <c r="B48" s="9"/>
      <c r="C48" s="9"/>
      <c r="D48" s="9"/>
      <c r="E48" s="9"/>
      <c r="F48" s="9"/>
      <c r="G48" s="9"/>
      <c r="H48" s="9"/>
      <c r="I48" s="9"/>
      <c r="J48" s="11"/>
    </row>
    <row r="49" spans="1:10" x14ac:dyDescent="0.2">
      <c r="A49" s="1"/>
      <c r="B49" s="1"/>
      <c r="C49" s="1"/>
      <c r="D49" s="1"/>
      <c r="E49" s="1"/>
      <c r="F49" s="1"/>
      <c r="G49" s="1"/>
      <c r="H49" s="1"/>
      <c r="I49" s="1"/>
      <c r="J49" s="2"/>
    </row>
    <row r="51" spans="1:10" x14ac:dyDescent="0.2">
      <c r="B51" s="3" t="s">
        <v>19</v>
      </c>
      <c r="C51" s="3"/>
      <c r="D51" s="3"/>
      <c r="E51" s="3"/>
      <c r="F51" s="3"/>
    </row>
    <row r="52" spans="1:10" x14ac:dyDescent="0.2">
      <c r="B52" s="3" t="s">
        <v>15</v>
      </c>
      <c r="C52" s="3">
        <v>4</v>
      </c>
      <c r="D52" s="3" t="str">
        <f>IF(C52=1,"d",IF(C52=2,"w",IF(C52=3,"m",IF(C52=4,"y","d"))))</f>
        <v>y</v>
      </c>
      <c r="E52" s="3"/>
      <c r="F52" s="3"/>
    </row>
    <row r="53" spans="1:10" x14ac:dyDescent="0.2">
      <c r="B53" s="3" t="s">
        <v>16</v>
      </c>
      <c r="C53" s="3"/>
      <c r="D53" s="3"/>
      <c r="E53" s="3"/>
      <c r="F53" s="3"/>
    </row>
    <row r="54" spans="1:10" x14ac:dyDescent="0.2">
      <c r="B54" s="3" t="s">
        <v>17</v>
      </c>
      <c r="C54" s="3"/>
      <c r="D54" s="3"/>
      <c r="E54" s="3"/>
      <c r="F54" s="3"/>
    </row>
    <row r="55" spans="1:10" x14ac:dyDescent="0.2">
      <c r="B55" s="3" t="s">
        <v>18</v>
      </c>
      <c r="C55" s="3"/>
      <c r="D55" s="3"/>
      <c r="E55" s="3"/>
      <c r="F55" s="3"/>
    </row>
  </sheetData>
  <phoneticPr fontId="0" type="noConversion"/>
  <dataValidations disablePrompts="1" count="1">
    <dataValidation type="decimal" operator="greaterThan" allowBlank="1" showInputMessage="1" showErrorMessage="1" errorTitle="Input Entry Error" error="The stock price must be positive!" sqref="C18:C43">
      <formula1>0</formula1>
    </dataValidation>
  </dataValidations>
  <printOptions gridLines="1" gridLinesSet="0"/>
  <pageMargins left="0.75" right="0.75" top="1" bottom="1" header="0.5" footer="0.5"/>
  <pageSetup scale="74" orientation="portrait" r:id="rId1"/>
  <headerFooter alignWithMargins="0">
    <oddHeader>&amp;F</oddHeader>
    <oddFooter>Page &amp;P</oddFooter>
  </headerFooter>
  <ignoredErrors>
    <ignoredError sqref="H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49" r:id="rId4" name="List Box 25">
              <controlPr defaultSize="0" autoFill="0" autoLine="0" autoPict="0">
                <anchor moveWithCells="1">
                  <from>
                    <xdr:col>0</xdr:col>
                    <xdr:colOff>400050</xdr:colOff>
                    <xdr:row>11</xdr:row>
                    <xdr:rowOff>76200</xdr:rowOff>
                  </from>
                  <to>
                    <xdr:col>2</xdr:col>
                    <xdr:colOff>352425</xdr:colOff>
                    <xdr:row>14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3"/>
  <sheetViews>
    <sheetView workbookViewId="0">
      <selection activeCell="Q10" sqref="Q10"/>
    </sheetView>
  </sheetViews>
  <sheetFormatPr defaultRowHeight="12.75" x14ac:dyDescent="0.2"/>
  <sheetData>
    <row r="1" spans="1:10" x14ac:dyDescent="0.2">
      <c r="A1" s="4"/>
      <c r="B1" s="4"/>
      <c r="C1" s="4"/>
      <c r="D1" s="4"/>
      <c r="E1" s="4"/>
      <c r="F1" s="4"/>
      <c r="G1" s="4"/>
      <c r="H1" s="4"/>
      <c r="I1" s="4"/>
      <c r="J1" s="5"/>
    </row>
    <row r="2" spans="1:10" x14ac:dyDescent="0.2">
      <c r="A2" s="4"/>
      <c r="B2" s="4"/>
      <c r="C2" s="4"/>
      <c r="D2" s="4"/>
      <c r="E2" s="4"/>
      <c r="F2" s="4"/>
      <c r="G2" s="4"/>
      <c r="H2" s="4"/>
      <c r="I2" s="4"/>
      <c r="J2" s="5"/>
    </row>
    <row r="3" spans="1:10" x14ac:dyDescent="0.2">
      <c r="A3" s="4"/>
      <c r="B3" s="4"/>
      <c r="C3" s="4"/>
      <c r="D3" s="4"/>
      <c r="E3" s="4"/>
      <c r="F3" s="4"/>
      <c r="G3" s="4"/>
      <c r="H3" s="4"/>
      <c r="I3" s="4"/>
      <c r="J3" s="5"/>
    </row>
    <row r="4" spans="1:10" x14ac:dyDescent="0.2">
      <c r="A4" s="4"/>
      <c r="B4" s="4"/>
      <c r="C4" s="4"/>
      <c r="D4" s="4"/>
      <c r="E4" s="4"/>
      <c r="F4" s="4"/>
      <c r="G4" s="4"/>
      <c r="H4" s="4"/>
      <c r="I4" s="4"/>
      <c r="J4" s="5"/>
    </row>
    <row r="5" spans="1:10" x14ac:dyDescent="0.2">
      <c r="A5" s="4"/>
      <c r="B5" s="4"/>
      <c r="C5" s="4"/>
      <c r="D5" s="4"/>
      <c r="E5" s="4"/>
      <c r="F5" s="4"/>
      <c r="G5" s="4"/>
      <c r="H5" s="4"/>
      <c r="I5" s="4"/>
      <c r="J5" s="5"/>
    </row>
    <row r="6" spans="1:10" x14ac:dyDescent="0.2">
      <c r="A6" s="4"/>
      <c r="B6" s="4"/>
      <c r="C6" s="4"/>
      <c r="D6" s="4"/>
      <c r="E6" s="4"/>
      <c r="F6" s="4"/>
      <c r="G6" s="4"/>
      <c r="H6" s="4"/>
      <c r="I6" s="4"/>
      <c r="J6" s="5"/>
    </row>
    <row r="7" spans="1:10" x14ac:dyDescent="0.2">
      <c r="A7" s="4"/>
      <c r="B7" s="4"/>
      <c r="C7" s="4"/>
      <c r="D7" s="4"/>
      <c r="E7" s="4"/>
      <c r="F7" s="4"/>
      <c r="G7" s="4"/>
      <c r="H7" s="4"/>
      <c r="I7" s="4"/>
      <c r="J7" s="5"/>
    </row>
    <row r="8" spans="1:10" x14ac:dyDescent="0.2">
      <c r="A8" s="4"/>
      <c r="B8" s="4"/>
      <c r="C8" s="4"/>
      <c r="D8" s="4"/>
      <c r="E8" s="4"/>
      <c r="F8" s="4"/>
      <c r="G8" s="4"/>
      <c r="H8" s="4"/>
      <c r="I8" s="4"/>
      <c r="J8" s="5"/>
    </row>
    <row r="9" spans="1:10" x14ac:dyDescent="0.2">
      <c r="A9" s="4"/>
      <c r="B9" s="4"/>
      <c r="C9" s="4"/>
      <c r="D9" s="4"/>
      <c r="E9" s="4"/>
      <c r="F9" s="4"/>
      <c r="G9" s="4"/>
      <c r="H9" s="4"/>
      <c r="I9" s="4"/>
      <c r="J9" s="5"/>
    </row>
    <row r="10" spans="1:10" x14ac:dyDescent="0.2">
      <c r="A10" s="4"/>
      <c r="B10" s="4"/>
      <c r="C10" s="4"/>
      <c r="D10" s="4"/>
      <c r="E10" s="4"/>
      <c r="F10" s="4"/>
      <c r="G10" s="4"/>
      <c r="H10" s="4"/>
      <c r="I10" s="4"/>
      <c r="J10" s="5"/>
    </row>
    <row r="11" spans="1:10" x14ac:dyDescent="0.2">
      <c r="A11" s="4"/>
      <c r="B11" s="4"/>
      <c r="C11" s="4"/>
      <c r="D11" s="4"/>
      <c r="E11" s="4"/>
      <c r="F11" s="4"/>
      <c r="G11" s="4"/>
      <c r="H11" s="4"/>
      <c r="I11" s="4"/>
      <c r="J11" s="5"/>
    </row>
    <row r="12" spans="1:10" x14ac:dyDescent="0.2">
      <c r="A12" s="4"/>
      <c r="B12" s="4"/>
      <c r="C12" s="4"/>
      <c r="D12" s="4"/>
      <c r="E12" s="4"/>
      <c r="F12" s="4"/>
      <c r="G12" s="4"/>
      <c r="H12" s="4"/>
      <c r="I12" s="4"/>
      <c r="J12" s="5"/>
    </row>
    <row r="13" spans="1:10" x14ac:dyDescent="0.2">
      <c r="A13" s="4"/>
      <c r="B13" s="4"/>
      <c r="C13" s="4"/>
      <c r="D13" s="4"/>
      <c r="E13" s="4"/>
      <c r="F13" s="4"/>
      <c r="G13" s="4"/>
      <c r="H13" s="4"/>
      <c r="I13" s="4"/>
      <c r="J13" s="5"/>
    </row>
    <row r="14" spans="1:10" x14ac:dyDescent="0.2">
      <c r="A14" s="4"/>
      <c r="B14" s="4"/>
      <c r="C14" s="4"/>
      <c r="D14" s="4"/>
      <c r="E14" s="4"/>
      <c r="F14" s="4"/>
      <c r="G14" s="4"/>
      <c r="H14" s="4"/>
      <c r="I14" s="4"/>
      <c r="J14" s="5"/>
    </row>
    <row r="15" spans="1:10" x14ac:dyDescent="0.2">
      <c r="A15" s="4"/>
      <c r="B15" s="4"/>
      <c r="C15" s="4"/>
      <c r="D15" s="4"/>
      <c r="E15" s="4"/>
      <c r="F15" s="4"/>
      <c r="G15" s="4"/>
      <c r="H15" s="4"/>
      <c r="I15" s="4"/>
      <c r="J15" s="5"/>
    </row>
    <row r="16" spans="1:10" x14ac:dyDescent="0.2">
      <c r="A16" s="4"/>
      <c r="B16" s="4"/>
      <c r="C16" s="4"/>
      <c r="D16" s="4"/>
      <c r="E16" s="4"/>
      <c r="F16" s="4"/>
      <c r="G16" s="4"/>
      <c r="H16" s="4"/>
      <c r="I16" s="4"/>
      <c r="J16" s="5"/>
    </row>
    <row r="17" spans="1:10" x14ac:dyDescent="0.2">
      <c r="A17" s="4"/>
      <c r="B17" s="4"/>
      <c r="C17" s="4"/>
      <c r="D17" s="4"/>
      <c r="E17" s="4"/>
      <c r="F17" s="4"/>
      <c r="G17" s="4"/>
      <c r="H17" s="4"/>
      <c r="I17" s="4"/>
      <c r="J17" s="5"/>
    </row>
    <row r="18" spans="1:10" x14ac:dyDescent="0.2">
      <c r="A18" s="4"/>
      <c r="B18" s="4"/>
      <c r="C18" s="4"/>
      <c r="D18" s="4"/>
      <c r="E18" s="4"/>
      <c r="F18" s="4"/>
      <c r="G18" s="4"/>
      <c r="H18" s="4"/>
      <c r="I18" s="4"/>
      <c r="J18" s="5"/>
    </row>
    <row r="19" spans="1:10" x14ac:dyDescent="0.2">
      <c r="A19" s="4"/>
      <c r="B19" s="4"/>
      <c r="C19" s="4"/>
      <c r="D19" s="4"/>
      <c r="E19" s="4"/>
      <c r="F19" s="4"/>
      <c r="G19" s="4"/>
      <c r="H19" s="4"/>
      <c r="I19" s="4"/>
      <c r="J19" s="5"/>
    </row>
    <row r="20" spans="1:10" x14ac:dyDescent="0.2">
      <c r="A20" s="4"/>
      <c r="B20" s="4"/>
      <c r="C20" s="4"/>
      <c r="D20" s="4"/>
      <c r="E20" s="4"/>
      <c r="F20" s="4"/>
      <c r="G20" s="4"/>
      <c r="H20" s="4"/>
      <c r="I20" s="4"/>
      <c r="J20" s="5"/>
    </row>
    <row r="21" spans="1:10" x14ac:dyDescent="0.2">
      <c r="A21" s="4"/>
      <c r="B21" s="4"/>
      <c r="C21" s="4"/>
      <c r="D21" s="4"/>
      <c r="E21" s="4"/>
      <c r="F21" s="4"/>
      <c r="G21" s="4"/>
      <c r="H21" s="4"/>
      <c r="I21" s="4"/>
      <c r="J21" s="5"/>
    </row>
    <row r="22" spans="1:10" ht="13.5" thickBot="1" x14ac:dyDescent="0.25">
      <c r="A22" s="7"/>
      <c r="B22" s="7"/>
      <c r="C22" s="7"/>
      <c r="D22" s="7"/>
      <c r="E22" s="7"/>
      <c r="F22" s="7"/>
      <c r="G22" s="7"/>
      <c r="H22" s="7"/>
      <c r="I22" s="7"/>
      <c r="J22" s="8"/>
    </row>
    <row r="23" spans="1:10" ht="13.5" thickTop="1" x14ac:dyDescent="0.2"/>
  </sheetData>
  <phoneticPr fontId="0"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workbookViewId="0">
      <selection activeCell="M5" sqref="M5"/>
    </sheetView>
  </sheetViews>
  <sheetFormatPr defaultRowHeight="12.75" x14ac:dyDescent="0.2"/>
  <sheetData>
    <row r="1" spans="1:7" x14ac:dyDescent="0.2">
      <c r="A1" s="4"/>
      <c r="B1" s="4"/>
      <c r="C1" s="4"/>
      <c r="D1" s="4"/>
      <c r="E1" s="4"/>
      <c r="F1" s="4"/>
      <c r="G1" s="5"/>
    </row>
    <row r="2" spans="1:7" x14ac:dyDescent="0.2">
      <c r="A2" s="4"/>
      <c r="B2" s="4"/>
      <c r="C2" s="4"/>
      <c r="D2" s="4"/>
      <c r="E2" s="4"/>
      <c r="F2" s="4"/>
      <c r="G2" s="5"/>
    </row>
    <row r="3" spans="1:7" x14ac:dyDescent="0.2">
      <c r="A3" s="4"/>
      <c r="B3" s="4"/>
      <c r="C3" s="4"/>
      <c r="D3" s="4"/>
      <c r="E3" s="4"/>
      <c r="F3" s="4"/>
      <c r="G3" s="5"/>
    </row>
    <row r="4" spans="1:7" x14ac:dyDescent="0.2">
      <c r="A4" s="4"/>
      <c r="B4" s="4"/>
      <c r="C4" s="4"/>
      <c r="D4" s="4"/>
      <c r="E4" s="4"/>
      <c r="F4" s="4"/>
      <c r="G4" s="5"/>
    </row>
    <row r="5" spans="1:7" x14ac:dyDescent="0.2">
      <c r="A5" s="4"/>
      <c r="B5" s="4"/>
      <c r="C5" s="4"/>
      <c r="D5" s="4"/>
      <c r="E5" s="4"/>
      <c r="F5" s="4"/>
      <c r="G5" s="5"/>
    </row>
    <row r="6" spans="1:7" x14ac:dyDescent="0.2">
      <c r="A6" s="4"/>
      <c r="B6" s="4"/>
      <c r="C6" s="4"/>
      <c r="D6" s="4"/>
      <c r="E6" s="4"/>
      <c r="F6" s="4"/>
      <c r="G6" s="5"/>
    </row>
    <row r="7" spans="1:7" x14ac:dyDescent="0.2">
      <c r="A7" s="4"/>
      <c r="B7" s="4"/>
      <c r="C7" s="4"/>
      <c r="D7" s="4"/>
      <c r="E7" s="4"/>
      <c r="F7" s="4"/>
      <c r="G7" s="5"/>
    </row>
    <row r="8" spans="1:7" x14ac:dyDescent="0.2">
      <c r="A8" s="4"/>
      <c r="B8" s="4"/>
      <c r="C8" s="4"/>
      <c r="D8" s="4"/>
      <c r="E8" s="4"/>
      <c r="F8" s="4"/>
      <c r="G8" s="5"/>
    </row>
    <row r="9" spans="1:7" x14ac:dyDescent="0.2">
      <c r="A9" s="4"/>
      <c r="B9" s="4"/>
      <c r="C9" s="4"/>
      <c r="D9" s="4"/>
      <c r="E9" s="4"/>
      <c r="F9" s="4"/>
      <c r="G9" s="5"/>
    </row>
    <row r="10" spans="1:7" x14ac:dyDescent="0.2">
      <c r="A10" s="4"/>
      <c r="B10" s="4"/>
      <c r="C10" s="4"/>
      <c r="D10" s="4"/>
      <c r="E10" s="4"/>
      <c r="F10" s="4"/>
      <c r="G10" s="5"/>
    </row>
    <row r="11" spans="1:7" x14ac:dyDescent="0.2">
      <c r="A11" s="4"/>
      <c r="B11" s="4"/>
      <c r="C11" s="4"/>
      <c r="D11" s="4"/>
      <c r="E11" s="4"/>
      <c r="F11" s="4"/>
      <c r="G11" s="5"/>
    </row>
    <row r="12" spans="1:7" x14ac:dyDescent="0.2">
      <c r="A12" s="4"/>
      <c r="B12" s="4"/>
      <c r="C12" s="4"/>
      <c r="D12" s="4"/>
      <c r="E12" s="4"/>
      <c r="F12" s="4"/>
      <c r="G12" s="5"/>
    </row>
    <row r="13" spans="1:7" x14ac:dyDescent="0.2">
      <c r="A13" s="4"/>
      <c r="B13" s="4"/>
      <c r="C13" s="4"/>
      <c r="D13" s="4"/>
      <c r="E13" s="4"/>
      <c r="F13" s="4"/>
      <c r="G13" s="5"/>
    </row>
    <row r="14" spans="1:7" ht="13.5" thickBot="1" x14ac:dyDescent="0.25">
      <c r="A14" s="7"/>
      <c r="B14" s="7"/>
      <c r="C14" s="7"/>
      <c r="D14" s="7"/>
      <c r="E14" s="7"/>
      <c r="F14" s="7"/>
      <c r="G14" s="8"/>
    </row>
    <row r="15" spans="1:7" ht="13.5" thickTop="1" x14ac:dyDescent="0.2"/>
  </sheetData>
  <phoneticPr fontId="0"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Historical Volatility</vt:lpstr>
      <vt:lpstr>Instructions</vt:lpstr>
      <vt:lpstr>About</vt:lpstr>
      <vt:lpstr>datafreq</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 Chance</dc:creator>
  <cp:lastModifiedBy>Don Chance</cp:lastModifiedBy>
  <cp:lastPrinted>1996-08-02T13:52:31Z</cp:lastPrinted>
  <dcterms:created xsi:type="dcterms:W3CDTF">1996-01-29T14:49:34Z</dcterms:created>
  <dcterms:modified xsi:type="dcterms:W3CDTF">2014-03-18T19:04:14Z</dcterms:modified>
</cp:coreProperties>
</file>