
<file path=[Content_Types].xml><?xml version="1.0" encoding="utf-8"?>
<Types xmlns="http://schemas.openxmlformats.org/package/2006/content-types">
  <Override PartName="/docProps/app.xml" ContentType="application/vnd.openxmlformats-officedocument.extended-properties+xml"/>
  <Override PartName="/xl/drawings/drawing2.xml" ContentType="application/vnd.openxmlformats-officedocument.drawing+xml"/>
  <Override PartName="/xl/sharedStrings.xml" ContentType="application/vnd.openxmlformats-officedocument.spreadsheetml.sharedString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drawings/drawing3.xml" ContentType="application/vnd.openxmlformats-officedocument.drawing+xml"/>
  <Override PartName="/xl/worksheets/sheet2.xml" ContentType="application/vnd.openxmlformats-officedocument.spreadsheetml.worksheet+xml"/>
  <Override PartName="/xl/calcChain.xml" ContentType="application/vnd.openxmlformats-officedocument.spreadsheetml.calcChain+xml"/>
  <Default Extension="rels" ContentType="application/vnd.openxmlformats-package.relationships+xml"/>
  <Override PartName="/xl/drawings/drawing1.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5" rupBuild="4505"/>
  <workbookPr autoCompressPictures="0"/>
  <bookViews>
    <workbookView xWindow="-200" yWindow="-180" windowWidth="28780" windowHeight="17000"/>
  </bookViews>
  <sheets>
    <sheet name="CheapestToDeliver" sheetId="1" r:id="rId1"/>
    <sheet name="Instructions" sheetId="2" r:id="rId2"/>
    <sheet name="About" sheetId="3" r:id="rId3"/>
  </sheets>
  <definedNames>
    <definedName name="CD">CheapestToDeliver!$Q$11</definedName>
    <definedName name="CDD">CheapestToDeliver!$B$12</definedName>
    <definedName name="CM">CheapestToDeliver!$P$11</definedName>
    <definedName name="CY">CheapestToDeliver!$O$11</definedName>
    <definedName name="DD">CheapestToDeliver!$Q$13</definedName>
    <definedName name="DDD">CheapestToDeliver!$E$12</definedName>
    <definedName name="DM">CheapestToDeliver!$P$13</definedName>
    <definedName name="DY">CheapestToDeliver!$O$13</definedName>
    <definedName name="FP">CheapestToDeliver!$E$14</definedName>
    <definedName name="_xlnm.Print_Area" localSheetId="0">CheapestToDeliver!$A$1:$K$29</definedName>
    <definedName name="RR">CheapestToDeliver!$B$14</definedName>
  </definedNames>
  <calcPr calcId="130407"/>
  <extLst>
    <ext xmlns:mx="http://schemas.microsoft.com/office/mac/excel/2008/main" uri="http://schemas.microsoft.com/office/mac/excel/2008/main">
      <mx:ArchID Flags="2"/>
    </ext>
  </extLst>
</workbook>
</file>

<file path=xl/calcChain.xml><?xml version="1.0" encoding="utf-8"?>
<calcChain xmlns="http://schemas.openxmlformats.org/spreadsheetml/2006/main">
  <c r="N27" i="1"/>
  <c r="AB27"/>
  <c r="AC27"/>
  <c r="O27"/>
  <c r="O11"/>
  <c r="AE27"/>
  <c r="AD27"/>
  <c r="Y27"/>
  <c r="Z27"/>
  <c r="AA27"/>
  <c r="M27"/>
  <c r="X27"/>
  <c r="P13"/>
  <c r="Q13"/>
  <c r="O13"/>
  <c r="U27"/>
  <c r="V27"/>
  <c r="W27"/>
  <c r="S27"/>
  <c r="T27"/>
  <c r="Q27"/>
  <c r="R27"/>
  <c r="P27"/>
  <c r="J27"/>
  <c r="I27"/>
  <c r="H27"/>
  <c r="G27"/>
  <c r="O14"/>
  <c r="E27"/>
  <c r="D27"/>
  <c r="F27"/>
  <c r="M26"/>
  <c r="X26"/>
  <c r="N26"/>
  <c r="O26"/>
  <c r="U26"/>
  <c r="Q26"/>
  <c r="R26"/>
  <c r="AB26"/>
  <c r="AC26"/>
  <c r="M25"/>
  <c r="X25"/>
  <c r="N25"/>
  <c r="O25"/>
  <c r="U25"/>
  <c r="M24"/>
  <c r="X24"/>
  <c r="N24"/>
  <c r="O24"/>
  <c r="U24"/>
  <c r="M23"/>
  <c r="X23"/>
  <c r="N23"/>
  <c r="AB23"/>
  <c r="AC23"/>
  <c r="O23"/>
  <c r="M22"/>
  <c r="X22"/>
  <c r="N22"/>
  <c r="O22"/>
  <c r="U22"/>
  <c r="M21"/>
  <c r="X21"/>
  <c r="N21"/>
  <c r="O21"/>
  <c r="U21"/>
  <c r="V21"/>
  <c r="W21"/>
  <c r="M20"/>
  <c r="X20"/>
  <c r="N20"/>
  <c r="O20"/>
  <c r="U20"/>
  <c r="S20"/>
  <c r="T20"/>
  <c r="AB20"/>
  <c r="AD20"/>
  <c r="M19"/>
  <c r="X19"/>
  <c r="N19"/>
  <c r="O19"/>
  <c r="U19"/>
  <c r="M18"/>
  <c r="X18"/>
  <c r="N18"/>
  <c r="O18"/>
  <c r="U18"/>
  <c r="AE26"/>
  <c r="AD26"/>
  <c r="Y26"/>
  <c r="AB25"/>
  <c r="AB24"/>
  <c r="AD24"/>
  <c r="AC24"/>
  <c r="AE24"/>
  <c r="AE23"/>
  <c r="AB22"/>
  <c r="AC22"/>
  <c r="AE22"/>
  <c r="AB21"/>
  <c r="AD21"/>
  <c r="AC20"/>
  <c r="AE20"/>
  <c r="Y20"/>
  <c r="AB19"/>
  <c r="AC19"/>
  <c r="AE19"/>
  <c r="AD19"/>
  <c r="Y19"/>
  <c r="AB18"/>
  <c r="AD18"/>
  <c r="AC18"/>
  <c r="AE18"/>
  <c r="Y18"/>
  <c r="Q11"/>
  <c r="P11"/>
  <c r="G26"/>
  <c r="G25"/>
  <c r="G24"/>
  <c r="G23"/>
  <c r="G22"/>
  <c r="G21"/>
  <c r="G20"/>
  <c r="G19"/>
  <c r="G18"/>
  <c r="AD22"/>
  <c r="Y22"/>
  <c r="Z22"/>
  <c r="AD23"/>
  <c r="Y23"/>
  <c r="Z19"/>
  <c r="AA19"/>
  <c r="H19"/>
  <c r="Z26"/>
  <c r="H26"/>
  <c r="J19"/>
  <c r="D19"/>
  <c r="V24"/>
  <c r="W24"/>
  <c r="S24"/>
  <c r="T24"/>
  <c r="Q24"/>
  <c r="R24"/>
  <c r="Z23"/>
  <c r="H23"/>
  <c r="J22"/>
  <c r="H22"/>
  <c r="D22"/>
  <c r="AA22"/>
  <c r="I22"/>
  <c r="Z20"/>
  <c r="H20"/>
  <c r="Q18"/>
  <c r="R18"/>
  <c r="V18"/>
  <c r="W18"/>
  <c r="S18"/>
  <c r="T18"/>
  <c r="Q25"/>
  <c r="R25"/>
  <c r="V25"/>
  <c r="W25"/>
  <c r="S25"/>
  <c r="T25"/>
  <c r="P25"/>
  <c r="Z18"/>
  <c r="H18"/>
  <c r="V19"/>
  <c r="W19"/>
  <c r="Q19"/>
  <c r="R19"/>
  <c r="P19"/>
  <c r="S19"/>
  <c r="T19"/>
  <c r="S22"/>
  <c r="T22"/>
  <c r="Q22"/>
  <c r="R22"/>
  <c r="V22"/>
  <c r="W22"/>
  <c r="I19"/>
  <c r="S26"/>
  <c r="T26"/>
  <c r="Q20"/>
  <c r="R20"/>
  <c r="S21"/>
  <c r="T21"/>
  <c r="V26"/>
  <c r="W26"/>
  <c r="P26"/>
  <c r="V20"/>
  <c r="W20"/>
  <c r="P20"/>
  <c r="AC21"/>
  <c r="AE21"/>
  <c r="AC25"/>
  <c r="AE25"/>
  <c r="AD25"/>
  <c r="Y25"/>
  <c r="Q21"/>
  <c r="R21"/>
  <c r="P21"/>
  <c r="U23"/>
  <c r="Y21"/>
  <c r="Y24"/>
  <c r="J23"/>
  <c r="D23"/>
  <c r="J18"/>
  <c r="D18"/>
  <c r="E19"/>
  <c r="F19"/>
  <c r="J20"/>
  <c r="D20"/>
  <c r="AA20"/>
  <c r="I20"/>
  <c r="E20"/>
  <c r="F20"/>
  <c r="S23"/>
  <c r="T23"/>
  <c r="V23"/>
  <c r="W23"/>
  <c r="P23"/>
  <c r="Q23"/>
  <c r="R23"/>
  <c r="P22"/>
  <c r="E22"/>
  <c r="F22"/>
  <c r="P18"/>
  <c r="P24"/>
  <c r="Z21"/>
  <c r="H21"/>
  <c r="AA23"/>
  <c r="I23"/>
  <c r="Z25"/>
  <c r="Z24"/>
  <c r="H24"/>
  <c r="AA18"/>
  <c r="I18"/>
  <c r="AA26"/>
  <c r="I26"/>
  <c r="E26"/>
  <c r="J26"/>
  <c r="D26"/>
  <c r="F26"/>
  <c r="AA25"/>
  <c r="I25"/>
  <c r="E25"/>
  <c r="J25"/>
  <c r="AA21"/>
  <c r="I21"/>
  <c r="E21"/>
  <c r="J21"/>
  <c r="D21"/>
  <c r="F21"/>
  <c r="H25"/>
  <c r="E18"/>
  <c r="F18"/>
  <c r="J24"/>
  <c r="D24"/>
  <c r="AA24"/>
  <c r="I24"/>
  <c r="E24"/>
  <c r="F24"/>
  <c r="E23"/>
  <c r="F23"/>
  <c r="D25"/>
  <c r="F25"/>
</calcChain>
</file>

<file path=xl/sharedStrings.xml><?xml version="1.0" encoding="utf-8"?>
<sst xmlns="http://schemas.openxmlformats.org/spreadsheetml/2006/main" count="34" uniqueCount="34">
  <si>
    <t>Inputs:</t>
  </si>
  <si>
    <t>Current Date (mm/dd/yyyy)</t>
  </si>
  <si>
    <t>Delivery Date (mm/dd/yyyy)</t>
  </si>
  <si>
    <t>Repo rate (decimal or percent):</t>
  </si>
  <si>
    <t>Futures price (points and 32nds after the decimal)</t>
  </si>
  <si>
    <t>Results:</t>
  </si>
  <si>
    <t>Coupon Rate</t>
  </si>
  <si>
    <t>Maturity Date (mm/dd/yyyy)</t>
  </si>
  <si>
    <t>Ask Price (pts &amp; 32nds)</t>
  </si>
  <si>
    <t>Forward Price</t>
  </si>
  <si>
    <t>Invoice Price</t>
  </si>
  <si>
    <t>Difference</t>
  </si>
  <si>
    <t>Decimal Price</t>
  </si>
  <si>
    <t>Accrued Interest Today</t>
  </si>
  <si>
    <t>Accrued Interest at Delivery</t>
  </si>
  <si>
    <t>Value of Coupons at Delivery</t>
  </si>
  <si>
    <t>Maturity Year</t>
  </si>
  <si>
    <t>Maturity Month</t>
  </si>
  <si>
    <t>Maturity Day</t>
  </si>
  <si>
    <t>CF</t>
  </si>
  <si>
    <t>CF0</t>
  </si>
  <si>
    <t>CF1</t>
  </si>
  <si>
    <t>CF2</t>
  </si>
  <si>
    <t>CF3</t>
  </si>
  <si>
    <t>Yr</t>
  </si>
  <si>
    <t>Mo</t>
  </si>
  <si>
    <t>Qtr</t>
  </si>
  <si>
    <t>t(i-1)</t>
  </si>
  <si>
    <t>t(i)</t>
  </si>
  <si>
    <t>t(i+1)</t>
  </si>
  <si>
    <t>fcpm</t>
  </si>
  <si>
    <t>scpm</t>
  </si>
  <si>
    <t>fcdate</t>
  </si>
  <si>
    <t>scdate</t>
  </si>
</sst>
</file>

<file path=xl/styles.xml><?xml version="1.0" encoding="utf-8"?>
<styleSheet xmlns="http://schemas.openxmlformats.org/spreadsheetml/2006/main">
  <numFmts count="6">
    <numFmt numFmtId="164" formatCode="dd\-mmm\-yy_)"/>
    <numFmt numFmtId="165" formatCode="0.00_)"/>
    <numFmt numFmtId="166" formatCode="0.0000_)"/>
    <numFmt numFmtId="167" formatCode="mmmm\ d\,\ yyyy"/>
    <numFmt numFmtId="168" formatCode="0.0000%"/>
    <numFmt numFmtId="169" formatCode="0.0000"/>
  </numFmts>
  <fonts count="5">
    <font>
      <sz val="10"/>
      <name val="Arial"/>
    </font>
    <font>
      <sz val="10"/>
      <name val="Arial"/>
    </font>
    <font>
      <b/>
      <sz val="12"/>
      <name val="Arial"/>
      <family val="2"/>
    </font>
    <font>
      <sz val="10"/>
      <color indexed="12"/>
      <name val="Arial"/>
      <family val="2"/>
    </font>
    <font>
      <sz val="12"/>
      <color indexed="8"/>
      <name val="Helv"/>
    </font>
  </fonts>
  <fills count="4">
    <fill>
      <patternFill patternType="none"/>
    </fill>
    <fill>
      <patternFill patternType="gray125"/>
    </fill>
    <fill>
      <patternFill patternType="solid">
        <fgColor rgb="FF00B0F0"/>
        <bgColor indexed="64"/>
      </patternFill>
    </fill>
    <fill>
      <patternFill patternType="solid">
        <fgColor rgb="FFFFFF00"/>
        <bgColor indexed="64"/>
      </patternFill>
    </fill>
  </fills>
  <borders count="13">
    <border>
      <left/>
      <right/>
      <top/>
      <bottom/>
      <diagonal/>
    </border>
    <border>
      <left/>
      <right style="thin">
        <color indexed="64"/>
      </right>
      <top/>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right style="thin">
        <color indexed="64"/>
      </right>
      <top/>
      <bottom style="double">
        <color indexed="64"/>
      </bottom>
      <diagonal/>
    </border>
    <border>
      <left/>
      <right style="double">
        <color indexed="64"/>
      </right>
      <top/>
      <bottom style="double">
        <color indexed="64"/>
      </bottom>
      <diagonal/>
    </border>
    <border>
      <left/>
      <right/>
      <top/>
      <bottom style="thin">
        <color indexed="64"/>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164" fontId="0" fillId="0" borderId="0" xfId="0" applyNumberFormat="1" applyProtection="1"/>
    <xf numFmtId="166" fontId="0" fillId="0" borderId="0" xfId="0" applyNumberFormat="1" applyProtection="1"/>
    <xf numFmtId="165" fontId="0" fillId="0" borderId="0" xfId="0" applyNumberFormat="1" applyProtection="1"/>
    <xf numFmtId="0" fontId="4" fillId="0" borderId="0" xfId="0" applyFont="1" applyProtection="1">
      <protection locked="0"/>
    </xf>
    <xf numFmtId="0" fontId="0" fillId="0" borderId="0" xfId="0" applyAlignment="1">
      <alignment horizontal="right" wrapText="1"/>
    </xf>
    <xf numFmtId="0" fontId="4" fillId="0" borderId="0" xfId="0" applyFont="1" applyProtection="1"/>
    <xf numFmtId="0" fontId="0" fillId="0" borderId="0" xfId="0" applyAlignment="1">
      <alignment wrapText="1"/>
    </xf>
    <xf numFmtId="0" fontId="1" fillId="2" borderId="0" xfId="0" applyFont="1" applyFill="1"/>
    <xf numFmtId="0" fontId="0" fillId="3" borderId="0" xfId="0" applyFill="1"/>
    <xf numFmtId="0" fontId="0" fillId="3" borderId="1" xfId="0" applyFill="1" applyBorder="1"/>
    <xf numFmtId="0" fontId="2" fillId="3" borderId="0" xfId="0" applyFont="1" applyFill="1"/>
    <xf numFmtId="167" fontId="3" fillId="3" borderId="2" xfId="0" applyNumberFormat="1" applyFont="1" applyFill="1" applyBorder="1" applyProtection="1">
      <protection locked="0"/>
    </xf>
    <xf numFmtId="168" fontId="3" fillId="3" borderId="2" xfId="1" applyNumberFormat="1" applyFont="1" applyFill="1" applyBorder="1" applyProtection="1">
      <protection locked="0"/>
    </xf>
    <xf numFmtId="0" fontId="3" fillId="3" borderId="2" xfId="0" applyFont="1" applyFill="1" applyBorder="1" applyProtection="1">
      <protection locked="0"/>
    </xf>
    <xf numFmtId="0" fontId="0" fillId="3" borderId="0" xfId="0" applyFill="1" applyAlignment="1">
      <alignment wrapText="1"/>
    </xf>
    <xf numFmtId="0" fontId="0" fillId="3" borderId="3" xfId="0" applyFill="1" applyBorder="1" applyAlignment="1">
      <alignment horizontal="right" wrapText="1"/>
    </xf>
    <xf numFmtId="0" fontId="0" fillId="3" borderId="1" xfId="0" applyFill="1" applyBorder="1" applyAlignment="1">
      <alignment wrapText="1"/>
    </xf>
    <xf numFmtId="169" fontId="0" fillId="3" borderId="4" xfId="0" applyNumberFormat="1" applyFill="1" applyBorder="1"/>
    <xf numFmtId="166" fontId="0" fillId="3" borderId="4" xfId="0" applyNumberFormat="1" applyFill="1" applyBorder="1" applyProtection="1"/>
    <xf numFmtId="168" fontId="3" fillId="3" borderId="5" xfId="1" applyNumberFormat="1" applyFont="1" applyFill="1" applyBorder="1" applyProtection="1">
      <protection locked="0"/>
    </xf>
    <xf numFmtId="167" fontId="3" fillId="3" borderId="5" xfId="0" applyNumberFormat="1" applyFont="1" applyFill="1" applyBorder="1" applyProtection="1">
      <protection locked="0"/>
    </xf>
    <xf numFmtId="2" fontId="3" fillId="3" borderId="6" xfId="0" applyNumberFormat="1" applyFont="1" applyFill="1" applyBorder="1" applyProtection="1">
      <protection locked="0"/>
    </xf>
    <xf numFmtId="169" fontId="0" fillId="3" borderId="5" xfId="0" applyNumberFormat="1" applyFill="1" applyBorder="1"/>
    <xf numFmtId="166" fontId="0" fillId="3" borderId="5" xfId="0" applyNumberFormat="1" applyFill="1" applyBorder="1" applyProtection="1"/>
    <xf numFmtId="0" fontId="0" fillId="3" borderId="7" xfId="0" applyFill="1" applyBorder="1"/>
    <xf numFmtId="0" fontId="0" fillId="3" borderId="8" xfId="0" applyFill="1" applyBorder="1"/>
    <xf numFmtId="0" fontId="0" fillId="3" borderId="5" xfId="0" applyFill="1" applyBorder="1"/>
    <xf numFmtId="0" fontId="0" fillId="3" borderId="9" xfId="0" applyFill="1" applyBorder="1"/>
    <xf numFmtId="0" fontId="0" fillId="2" borderId="0" xfId="0" applyFill="1"/>
    <xf numFmtId="0" fontId="0" fillId="2" borderId="10" xfId="0" applyFill="1" applyBorder="1"/>
    <xf numFmtId="0" fontId="0" fillId="2" borderId="11" xfId="0" applyFill="1" applyBorder="1"/>
    <xf numFmtId="0" fontId="0" fillId="2" borderId="12" xfId="0" applyFill="1" applyBorder="1"/>
  </cellXfs>
  <cellStyles count="2">
    <cellStyle name="Normal" xfId="0" builtinId="0"/>
    <cellStyle name="Percent" xfId="1" builtinId="5"/>
  </cellStyles>
  <dxfs count="0"/>
  <tableStyles count="0" defaultTableStyle="Table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2</xdr:col>
      <xdr:colOff>157163</xdr:colOff>
      <xdr:row>0</xdr:row>
      <xdr:rowOff>122237</xdr:rowOff>
    </xdr:from>
    <xdr:to>
      <xdr:col>7</xdr:col>
      <xdr:colOff>239740</xdr:colOff>
      <xdr:row>7</xdr:row>
      <xdr:rowOff>23812</xdr:rowOff>
    </xdr:to>
    <xdr:sp macro="" textlink="">
      <xdr:nvSpPr>
        <xdr:cNvPr id="1028" name="Text 2"/>
        <xdr:cNvSpPr>
          <a:spLocks noChangeArrowheads="1"/>
        </xdr:cNvSpPr>
      </xdr:nvSpPr>
      <xdr:spPr bwMode="auto">
        <a:xfrm>
          <a:off x="2157413" y="122237"/>
          <a:ext cx="4408515" cy="1012825"/>
        </a:xfrm>
        <a:prstGeom prst="roundRect">
          <a:avLst>
            <a:gd name="adj" fmla="val 16667"/>
          </a:avLst>
        </a:prstGeom>
        <a:solidFill>
          <a:srgbClr val="FFFF00"/>
        </a:solidFill>
        <a:ln w="9525">
          <a:solidFill>
            <a:srgbClr val="000000"/>
          </a:solidFill>
          <a:round/>
          <a:headEnd/>
          <a:tailEnd/>
        </a:ln>
        <a:effectLst>
          <a:outerShdw blurRad="63500" dist="38099" dir="2700000" algn="ctr" rotWithShape="0">
            <a:srgbClr val="000000">
              <a:alpha val="74998"/>
            </a:srgbClr>
          </a:outerShdw>
        </a:effec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TREASURY BOND FUTURES</a:t>
          </a:r>
        </a:p>
        <a:p>
          <a:pPr algn="ctr" rtl="0">
            <a:defRPr sz="1000"/>
          </a:pPr>
          <a:r>
            <a:rPr lang="en-US" sz="1600" b="1" i="0" u="none" strike="noStrike" baseline="0">
              <a:solidFill>
                <a:srgbClr val="000000"/>
              </a:solidFill>
              <a:latin typeface="Arial"/>
              <a:cs typeface="Arial"/>
            </a:rPr>
            <a:t>CHEAPEST TO DELIVER</a:t>
          </a:r>
        </a:p>
        <a:p>
          <a:pPr algn="ctr" rtl="0">
            <a:defRPr sz="1000"/>
          </a:pPr>
          <a:r>
            <a:rPr lang="en-US" sz="1600" b="1" i="0" u="none" strike="noStrike" baseline="0">
              <a:solidFill>
                <a:srgbClr val="000000"/>
              </a:solidFill>
              <a:latin typeface="Arial"/>
              <a:cs typeface="Arial"/>
            </a:rPr>
            <a:t>10e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xdr:colOff>
      <xdr:row>0</xdr:row>
      <xdr:rowOff>85725</xdr:rowOff>
    </xdr:from>
    <xdr:to>
      <xdr:col>9</xdr:col>
      <xdr:colOff>400050</xdr:colOff>
      <xdr:row>17</xdr:row>
      <xdr:rowOff>60325</xdr:rowOff>
    </xdr:to>
    <xdr:sp macro="" textlink="">
      <xdr:nvSpPr>
        <xdr:cNvPr id="2052" name="Text 4"/>
        <xdr:cNvSpPr>
          <a:spLocks noChangeArrowheads="1"/>
        </xdr:cNvSpPr>
      </xdr:nvSpPr>
      <xdr:spPr bwMode="auto">
        <a:xfrm>
          <a:off x="342900" y="76200"/>
          <a:ext cx="6172200" cy="2565400"/>
        </a:xfrm>
        <a:prstGeom prst="roundRect">
          <a:avLst>
            <a:gd name="adj" fmla="val 16667"/>
          </a:avLst>
        </a:prstGeom>
        <a:solidFill>
          <a:srgbClr val="FFFF00"/>
        </a:solidFill>
        <a:ln w="9525">
          <a:solidFill>
            <a:srgbClr val="000000"/>
          </a:solidFill>
          <a:round/>
          <a:headEnd/>
          <a:tailEnd/>
        </a:ln>
        <a:effectLst>
          <a:outerShdw blurRad="63500" dist="38099" dir="2700000" algn="ctr" rotWithShape="0">
            <a:srgbClr val="000000">
              <a:alpha val="74998"/>
            </a:srgbClr>
          </a:outerShdw>
        </a:effectLst>
      </xdr:spPr>
      <xdr:txBody>
        <a:bodyPr vertOverflow="clip" wrap="square" lIns="27432" tIns="22860" rIns="27432" bIns="0" anchor="t" upright="1"/>
        <a:lstStyle/>
        <a:p>
          <a:pPr algn="just" rtl="0">
            <a:defRPr sz="1000"/>
          </a:pPr>
          <a:r>
            <a:rPr lang="en-US" sz="1000" b="1" i="0" u="none" strike="noStrike" baseline="0">
              <a:solidFill>
                <a:srgbClr val="000000"/>
              </a:solidFill>
              <a:latin typeface="Arial"/>
              <a:cs typeface="Arial"/>
            </a:rPr>
            <a:t>Instructions:</a:t>
          </a:r>
          <a:endParaRPr lang="en-US" sz="1000" b="0" i="0" u="none" strike="noStrike" baseline="0">
            <a:solidFill>
              <a:srgbClr val="000000"/>
            </a:solidFill>
            <a:latin typeface="Arial"/>
            <a:cs typeface="Arial"/>
          </a:endParaRP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Insert the current date and delivery date in the format dd/mm/yyyy (e. g., 6/3/2000 for June 3, 2000).  Insert the repo rate as either a decimal or a percent (e. g., 2.62 or .0262 for 2.62 %).  Insert the futures price as points and 32nds (e.g., 123.06 for 123 6/32).  For each deliverable bond you wish to analyze, insert the coupon rate, maturity date and ask price in the same formats as the repo rate, current or delivery date and futures price.  Input cells are bordered by double lines and are in blue.</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Hit F9 to recalculate.  Output cells are bordered by single lines.</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To add rows to analyze more bonds, copy the formulas in the bottom row.  The formulas go all the way to column AE.  The spreadsheet is on protected status.  To remove protection in order to add rows, choose Tools/Protection/Unprotect Sheet from the main menu.  To protect the spreadsheet, choose Tools/Protection/Protect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371475</xdr:colOff>
      <xdr:row>1</xdr:row>
      <xdr:rowOff>12700</xdr:rowOff>
    </xdr:from>
    <xdr:to>
      <xdr:col>6</xdr:col>
      <xdr:colOff>266700</xdr:colOff>
      <xdr:row>11</xdr:row>
      <xdr:rowOff>101600</xdr:rowOff>
    </xdr:to>
    <xdr:sp macro="" textlink="">
      <xdr:nvSpPr>
        <xdr:cNvPr id="3076" name="Text 3"/>
        <xdr:cNvSpPr>
          <a:spLocks noChangeArrowheads="1"/>
        </xdr:cNvSpPr>
      </xdr:nvSpPr>
      <xdr:spPr bwMode="auto">
        <a:xfrm>
          <a:off x="419100" y="165100"/>
          <a:ext cx="3924300" cy="1612900"/>
        </a:xfrm>
        <a:prstGeom prst="roundRect">
          <a:avLst>
            <a:gd name="adj" fmla="val 16667"/>
          </a:avLst>
        </a:prstGeom>
        <a:solidFill>
          <a:srgbClr val="FFFF00"/>
        </a:solidFill>
        <a:ln w="9525">
          <a:solidFill>
            <a:srgbClr val="000000"/>
          </a:solidFill>
          <a:round/>
          <a:headEnd/>
          <a:tailEnd/>
        </a:ln>
        <a:effectLst>
          <a:outerShdw blurRad="63500" dist="38099" dir="2700000" algn="ctr" rotWithShape="0">
            <a:srgbClr val="000000">
              <a:alpha val="74998"/>
            </a:srgbClr>
          </a:outerShdw>
        </a:effectLst>
      </xdr:spPr>
      <xdr:txBody>
        <a:bodyPr vertOverflow="clip" wrap="square" lIns="27432" tIns="22860" rIns="27432" bIns="22860" anchor="ctr" upright="1"/>
        <a:lstStyle/>
        <a:p>
          <a:pPr algn="just" rtl="0">
            <a:defRPr sz="1000"/>
          </a:pPr>
          <a:r>
            <a:rPr lang="en-US" sz="1000" b="0" i="0" u="none" strike="noStrike" baseline="0">
              <a:solidFill>
                <a:srgbClr val="000000"/>
              </a:solidFill>
              <a:latin typeface="Arial"/>
              <a:cs typeface="Arial"/>
            </a:rPr>
            <a:t>Written by Don M. Chance and Robert Brooks</a:t>
          </a:r>
        </a:p>
        <a:p>
          <a:pPr algn="just" rtl="0">
            <a:defRPr sz="1000"/>
          </a:pPr>
          <a:r>
            <a:rPr lang="en-US" sz="1000" b="0" i="0" u="none" strike="noStrike" baseline="0">
              <a:solidFill>
                <a:srgbClr val="000000"/>
              </a:solidFill>
              <a:latin typeface="Arial"/>
              <a:cs typeface="Arial"/>
            </a:rPr>
            <a:t>For use with </a:t>
          </a:r>
          <a:r>
            <a:rPr lang="en-US" sz="1000" b="0" i="1" u="none" strike="noStrike" baseline="0">
              <a:solidFill>
                <a:srgbClr val="000000"/>
              </a:solidFill>
              <a:latin typeface="Arial"/>
              <a:cs typeface="Arial"/>
            </a:rPr>
            <a:t>An Introduction to Derivatives and Risk Management, 10</a:t>
          </a:r>
          <a:r>
            <a:rPr lang="en-US" sz="1000" b="0" i="1" u="none" strike="noStrike" baseline="30000">
              <a:solidFill>
                <a:srgbClr val="000000"/>
              </a:solidFill>
              <a:latin typeface="Arial"/>
              <a:cs typeface="Arial"/>
            </a:rPr>
            <a:t>th</a:t>
          </a:r>
          <a:r>
            <a:rPr lang="en-US" sz="1000" b="0" i="1" u="none" strike="noStrike" baseline="0">
              <a:solidFill>
                <a:srgbClr val="000000"/>
              </a:solidFill>
              <a:latin typeface="Arial"/>
              <a:cs typeface="Arial"/>
            </a:rPr>
            <a:t> ed.</a:t>
          </a: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(Mason, Ohio:  Cengage, 2015)</a:t>
          </a:r>
        </a:p>
        <a:p>
          <a:pPr algn="just" rtl="0">
            <a:defRPr sz="1000"/>
          </a:pPr>
          <a:r>
            <a:rPr lang="en-US" sz="1000" b="0" i="0" u="none" strike="noStrike" baseline="0">
              <a:solidFill>
                <a:srgbClr val="000000"/>
              </a:solidFill>
              <a:latin typeface="Arial"/>
              <a:cs typeface="Arial"/>
            </a:rPr>
            <a:t>Date:  7/09</a:t>
          </a:r>
        </a:p>
        <a:p>
          <a:pPr algn="just" rtl="0">
            <a:defRPr sz="1000"/>
          </a:pPr>
          <a:r>
            <a:rPr lang="en-US" sz="1000" b="0" i="0" u="none" strike="noStrike" baseline="0">
              <a:solidFill>
                <a:srgbClr val="000000"/>
              </a:solidFill>
              <a:latin typeface="Arial"/>
              <a:cs typeface="Arial"/>
            </a:rPr>
            <a:t>Last updated:  3/18/14</a:t>
          </a:r>
        </a:p>
        <a:p>
          <a:pPr algn="just" rtl="0">
            <a:defRPr sz="1000"/>
          </a:pPr>
          <a:r>
            <a:rPr lang="en-US" sz="1000" b="0" i="0" u="none" strike="noStrike" baseline="0">
              <a:solidFill>
                <a:srgbClr val="000000"/>
              </a:solidFill>
              <a:latin typeface="Arial"/>
              <a:cs typeface="Arial"/>
            </a:rPr>
            <a:t>© 2014 Cengage Learning. All Rights Reserved. May not be scanned, copied or duplicated, or posted to a publicly accessible website, in whole or in part.</a:t>
          </a:r>
        </a:p>
        <a:p>
          <a:pPr algn="just" rtl="0">
            <a:defRPr sz="1000"/>
          </a:pPr>
          <a:endParaRPr lang="en-US" sz="1000" b="0" i="0"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fitToPage="1"/>
  </sheetPr>
  <dimension ref="A1:AE29"/>
  <sheetViews>
    <sheetView tabSelected="1" zoomScale="170" zoomScaleNormal="120" zoomScalePageLayoutView="120" workbookViewId="0">
      <selection activeCell="A30" sqref="A30"/>
    </sheetView>
  </sheetViews>
  <sheetFormatPr baseColWidth="10" defaultColWidth="8.83203125" defaultRowHeight="12"/>
  <cols>
    <col min="1" max="1" width="11.6640625" customWidth="1"/>
    <col min="2" max="2" width="18.33203125" customWidth="1"/>
    <col min="3" max="3" width="10.1640625" customWidth="1"/>
    <col min="4" max="4" width="12.83203125" customWidth="1"/>
    <col min="5" max="5" width="18.33203125" customWidth="1"/>
    <col min="6" max="6" width="10.83203125" customWidth="1"/>
    <col min="7" max="7" width="12.6640625" customWidth="1"/>
    <col min="8" max="8" width="12" customWidth="1"/>
    <col min="9" max="9" width="11.83203125" customWidth="1"/>
    <col min="10" max="10" width="12.1640625" customWidth="1"/>
    <col min="13" max="13" width="7.83203125" customWidth="1"/>
    <col min="14" max="14" width="7.5" customWidth="1"/>
    <col min="15" max="15" width="9.5" customWidth="1"/>
    <col min="21" max="21" width="6.33203125" customWidth="1"/>
    <col min="22" max="22" width="5.83203125" customWidth="1"/>
    <col min="23" max="23" width="5.5" customWidth="1"/>
    <col min="24" max="24" width="6.6640625" customWidth="1"/>
    <col min="25" max="25" width="13.83203125" customWidth="1"/>
    <col min="26" max="26" width="13.5" customWidth="1"/>
    <col min="27" max="27" width="11" customWidth="1"/>
    <col min="28" max="29" width="6" customWidth="1"/>
    <col min="30" max="30" width="12.1640625" customWidth="1"/>
    <col min="31" max="31" width="13.1640625" customWidth="1"/>
  </cols>
  <sheetData>
    <row r="1" spans="1:17" ht="12.75" customHeight="1">
      <c r="A1" s="8"/>
      <c r="B1" s="8"/>
      <c r="C1" s="8"/>
      <c r="D1" s="8"/>
      <c r="E1" s="8"/>
      <c r="F1" s="8"/>
      <c r="G1" s="8"/>
      <c r="H1" s="8"/>
      <c r="I1" s="8"/>
      <c r="J1" s="8"/>
      <c r="K1" s="8"/>
    </row>
    <row r="2" spans="1:17" ht="12.75" customHeight="1">
      <c r="A2" s="8"/>
      <c r="B2" s="8"/>
      <c r="C2" s="8"/>
      <c r="D2" s="8"/>
      <c r="E2" s="8"/>
      <c r="F2" s="8"/>
      <c r="G2" s="8"/>
      <c r="H2" s="8"/>
      <c r="I2" s="8"/>
      <c r="J2" s="8"/>
      <c r="K2" s="8"/>
    </row>
    <row r="3" spans="1:17" ht="12.75" customHeight="1">
      <c r="A3" s="8"/>
      <c r="B3" s="8"/>
      <c r="C3" s="8"/>
      <c r="D3" s="8"/>
      <c r="E3" s="8"/>
      <c r="F3" s="8"/>
      <c r="G3" s="8"/>
      <c r="H3" s="8"/>
      <c r="I3" s="8"/>
      <c r="J3" s="8"/>
      <c r="K3" s="8"/>
    </row>
    <row r="4" spans="1:17" ht="12.75" customHeight="1">
      <c r="A4" s="8"/>
      <c r="B4" s="8"/>
      <c r="C4" s="8"/>
      <c r="D4" s="8"/>
      <c r="E4" s="8"/>
      <c r="F4" s="8"/>
      <c r="G4" s="8"/>
      <c r="H4" s="8"/>
      <c r="I4" s="8"/>
      <c r="J4" s="8"/>
      <c r="K4" s="8"/>
    </row>
    <row r="5" spans="1:17" ht="12.75" customHeight="1">
      <c r="A5" s="8"/>
      <c r="B5" s="8"/>
      <c r="C5" s="8"/>
      <c r="D5" s="8"/>
      <c r="E5" s="8"/>
      <c r="F5" s="8"/>
      <c r="G5" s="8"/>
      <c r="H5" s="8"/>
      <c r="I5" s="8"/>
      <c r="J5" s="8"/>
      <c r="K5" s="8"/>
    </row>
    <row r="6" spans="1:17" ht="12.75" customHeight="1">
      <c r="A6" s="8"/>
      <c r="B6" s="8"/>
      <c r="C6" s="8"/>
      <c r="D6" s="8"/>
      <c r="E6" s="8"/>
      <c r="F6" s="8"/>
      <c r="G6" s="8"/>
      <c r="H6" s="8"/>
      <c r="I6" s="8"/>
      <c r="J6" s="8"/>
      <c r="K6" s="8"/>
    </row>
    <row r="7" spans="1:17" ht="12.75" customHeight="1">
      <c r="A7" s="8"/>
      <c r="B7" s="8"/>
      <c r="C7" s="8"/>
      <c r="D7" s="8"/>
      <c r="E7" s="8"/>
      <c r="F7" s="8"/>
      <c r="G7" s="8"/>
      <c r="H7" s="8"/>
      <c r="I7" s="8"/>
      <c r="J7" s="8"/>
      <c r="K7" s="8"/>
    </row>
    <row r="8" spans="1:17" ht="12.75" customHeight="1">
      <c r="A8" s="8"/>
      <c r="B8" s="8"/>
      <c r="C8" s="8"/>
      <c r="D8" s="8"/>
      <c r="E8" s="8"/>
      <c r="F8" s="8"/>
      <c r="G8" s="8"/>
      <c r="H8" s="8"/>
      <c r="I8" s="8"/>
      <c r="J8" s="8"/>
      <c r="K8" s="8"/>
    </row>
    <row r="9" spans="1:17" ht="12.75" customHeight="1">
      <c r="A9" s="9"/>
      <c r="B9" s="9"/>
      <c r="C9" s="9"/>
      <c r="D9" s="9"/>
      <c r="E9" s="9"/>
      <c r="F9" s="9"/>
      <c r="G9" s="9"/>
      <c r="H9" s="9"/>
      <c r="I9" s="9"/>
      <c r="J9" s="9"/>
      <c r="K9" s="10"/>
    </row>
    <row r="10" spans="1:17" ht="12.75" customHeight="1">
      <c r="A10" s="11" t="s">
        <v>0</v>
      </c>
      <c r="B10" s="9"/>
      <c r="C10" s="9"/>
      <c r="D10" s="9"/>
      <c r="E10" s="9"/>
      <c r="F10" s="9"/>
      <c r="G10" s="9"/>
      <c r="H10" s="9"/>
      <c r="I10" s="9"/>
      <c r="J10" s="9"/>
      <c r="K10" s="10"/>
    </row>
    <row r="11" spans="1:17" ht="14.25" customHeight="1" thickBot="1">
      <c r="A11" s="9" t="s">
        <v>1</v>
      </c>
      <c r="B11" s="9"/>
      <c r="C11" s="9"/>
      <c r="D11" s="9" t="s">
        <v>2</v>
      </c>
      <c r="E11" s="9"/>
      <c r="F11" s="9"/>
      <c r="G11" s="9"/>
      <c r="H11" s="9"/>
      <c r="I11" s="9"/>
      <c r="J11" s="9"/>
      <c r="K11" s="10"/>
      <c r="O11" s="4">
        <f>YEAR(B12)</f>
        <v>2014</v>
      </c>
      <c r="P11" s="4">
        <f>MONTH(B12)</f>
        <v>5</v>
      </c>
      <c r="Q11" s="4">
        <f>DAY(B12)</f>
        <v>11</v>
      </c>
    </row>
    <row r="12" spans="1:17" ht="12.75" customHeight="1" thickTop="1" thickBot="1">
      <c r="A12" s="9"/>
      <c r="B12" s="12">
        <v>41770</v>
      </c>
      <c r="C12" s="9"/>
      <c r="D12" s="9"/>
      <c r="E12" s="12">
        <v>41798</v>
      </c>
      <c r="F12" s="9"/>
      <c r="G12" s="9"/>
      <c r="H12" s="9"/>
      <c r="I12" s="9"/>
      <c r="J12" s="9"/>
      <c r="K12" s="10"/>
    </row>
    <row r="13" spans="1:17" ht="15.75" customHeight="1" thickTop="1" thickBot="1">
      <c r="A13" s="9" t="s">
        <v>3</v>
      </c>
      <c r="B13" s="9"/>
      <c r="C13" s="9"/>
      <c r="D13" s="9" t="s">
        <v>4</v>
      </c>
      <c r="E13" s="9"/>
      <c r="F13" s="9"/>
      <c r="G13" s="9"/>
      <c r="H13" s="9"/>
      <c r="I13" s="9"/>
      <c r="J13" s="9"/>
      <c r="K13" s="10"/>
      <c r="O13" s="4">
        <f>YEAR(E12)</f>
        <v>2014</v>
      </c>
      <c r="P13" s="4">
        <f>MONTH(E12)</f>
        <v>6</v>
      </c>
      <c r="Q13" s="4">
        <f>DAY(E12)</f>
        <v>8</v>
      </c>
    </row>
    <row r="14" spans="1:17" ht="12.75" customHeight="1" thickTop="1" thickBot="1">
      <c r="A14" s="9"/>
      <c r="B14" s="13">
        <v>0.01</v>
      </c>
      <c r="C14" s="9"/>
      <c r="D14" s="9"/>
      <c r="E14" s="14">
        <v>135.22</v>
      </c>
      <c r="F14" s="9"/>
      <c r="G14" s="9"/>
      <c r="H14" s="15"/>
      <c r="I14" s="9"/>
      <c r="J14" s="9"/>
      <c r="K14" s="10"/>
      <c r="O14" s="2">
        <f>IF((FP-TRUNC(FP))*100&gt;32,(FP-TRUNC(FP))*0.3125,(FP-TRUNC(FP))*3.125)+TRUNC(FP)</f>
        <v>135.6875</v>
      </c>
    </row>
    <row r="15" spans="1:17" ht="12.75" customHeight="1" thickTop="1">
      <c r="A15" s="9"/>
      <c r="B15" s="9"/>
      <c r="C15" s="9"/>
      <c r="D15" s="9"/>
      <c r="E15" s="9"/>
      <c r="F15" s="9"/>
      <c r="G15" s="9"/>
      <c r="H15" s="9"/>
      <c r="I15" s="9"/>
      <c r="J15" s="9"/>
      <c r="K15" s="10"/>
    </row>
    <row r="16" spans="1:17" ht="12.75" customHeight="1">
      <c r="A16" s="9"/>
      <c r="B16" s="9"/>
      <c r="C16" s="9"/>
      <c r="D16" s="11" t="s">
        <v>5</v>
      </c>
      <c r="E16" s="9"/>
      <c r="F16" s="9"/>
      <c r="G16" s="9"/>
      <c r="H16" s="9"/>
      <c r="I16" s="9"/>
      <c r="J16" s="9"/>
      <c r="K16" s="10"/>
    </row>
    <row r="17" spans="1:31" ht="39.75" customHeight="1">
      <c r="A17" s="16" t="s">
        <v>6</v>
      </c>
      <c r="B17" s="16" t="s">
        <v>7</v>
      </c>
      <c r="C17" s="16" t="s">
        <v>8</v>
      </c>
      <c r="D17" s="16" t="s">
        <v>9</v>
      </c>
      <c r="E17" s="16" t="s">
        <v>10</v>
      </c>
      <c r="F17" s="16" t="s">
        <v>11</v>
      </c>
      <c r="G17" s="16" t="s">
        <v>12</v>
      </c>
      <c r="H17" s="16" t="s">
        <v>13</v>
      </c>
      <c r="I17" s="16" t="s">
        <v>14</v>
      </c>
      <c r="J17" s="16" t="s">
        <v>15</v>
      </c>
      <c r="K17" s="17"/>
      <c r="L17" s="7"/>
      <c r="M17" s="5" t="s">
        <v>16</v>
      </c>
      <c r="N17" s="5" t="s">
        <v>17</v>
      </c>
      <c r="O17" s="5" t="s">
        <v>18</v>
      </c>
      <c r="P17" s="5" t="s">
        <v>19</v>
      </c>
      <c r="Q17" s="5" t="s">
        <v>20</v>
      </c>
      <c r="R17" s="5" t="s">
        <v>21</v>
      </c>
      <c r="S17" s="5" t="s">
        <v>22</v>
      </c>
      <c r="T17" s="5" t="s">
        <v>23</v>
      </c>
      <c r="U17" s="5" t="s">
        <v>24</v>
      </c>
      <c r="V17" s="5" t="s">
        <v>25</v>
      </c>
      <c r="W17" s="5" t="s">
        <v>26</v>
      </c>
      <c r="X17" s="5"/>
      <c r="Y17" s="5" t="s">
        <v>27</v>
      </c>
      <c r="Z17" s="5" t="s">
        <v>28</v>
      </c>
      <c r="AA17" s="5" t="s">
        <v>29</v>
      </c>
      <c r="AB17" s="5" t="s">
        <v>30</v>
      </c>
      <c r="AC17" s="5" t="s">
        <v>31</v>
      </c>
      <c r="AD17" s="5" t="s">
        <v>32</v>
      </c>
      <c r="AE17" s="5" t="s">
        <v>33</v>
      </c>
    </row>
    <row r="18" spans="1:31" ht="12.75" customHeight="1">
      <c r="A18" s="20">
        <v>6.25E-2</v>
      </c>
      <c r="B18" s="21">
        <v>47618</v>
      </c>
      <c r="C18" s="22">
        <v>140.29</v>
      </c>
      <c r="D18" s="18">
        <f t="shared" ref="D18:D26" si="0">(+G18+H18)*(1+RR)^((DDD-CDD)/365)-J18</f>
        <v>140.94507413721081</v>
      </c>
      <c r="E18" s="18">
        <f t="shared" ref="E18:E24" si="1">$O$14*P18+I18</f>
        <v>139.50487828629562</v>
      </c>
      <c r="F18" s="18">
        <f t="shared" ref="F18:F24" si="2">E18-D18</f>
        <v>-1.4401958509151882</v>
      </c>
      <c r="G18" s="18">
        <f t="shared" ref="G18:G27" si="3">IF(($C18-TRUNC($C18))*100&gt;32,($C18-TRUNC($C18))*0.3125,($C18-TRUNC($C18))*3.125)+TRUNC($C18)</f>
        <v>140.90624999999997</v>
      </c>
      <c r="H18" s="19">
        <f t="shared" ref="H18:H26" si="4">(A18*100/2)*(CDD-Y18)/(Z18-Y18)</f>
        <v>3.055939226519337</v>
      </c>
      <c r="I18" s="19">
        <f t="shared" ref="I18:I26" si="5">IF(Z18&gt;DDD,(A18*100/2)*(DDD-Y18)/(Z18-Y18),(A18*100/2)*(DDD-Z18)/(AA18-Z18))</f>
        <v>0.40760869565217389</v>
      </c>
      <c r="J18" s="19">
        <f t="shared" ref="J18:J26" si="6">IF(Z18&gt;DDD,0,(A18*100/2)*(1+RR)^((DDD-Z18)/365))</f>
        <v>3.1270452575321288</v>
      </c>
      <c r="K18" s="10"/>
      <c r="M18" s="6">
        <f t="shared" ref="M18:M26" si="7">YEAR(B18)</f>
        <v>2030</v>
      </c>
      <c r="N18" s="6">
        <f t="shared" ref="N18:N26" si="8">MONTH(B18)</f>
        <v>5</v>
      </c>
      <c r="O18" s="6">
        <f t="shared" ref="O18:O26" si="9">DAY(B18)</f>
        <v>15</v>
      </c>
      <c r="P18" s="2">
        <f t="shared" ref="P18:P26" si="10">IF(A18=0.06,1,CHOOSE($W18+1,$Q18,$R18,$S18,$T18))</f>
        <v>1.0251295778214164</v>
      </c>
      <c r="Q18" s="3">
        <f t="shared" ref="Q18:Q27" si="11">($A18*100/2)*(1-(1.03)^(-$U18*2))/0.03/100+(1.03)^(-$U18*2)</f>
        <v>1.0245005516868373</v>
      </c>
      <c r="R18" s="3">
        <f t="shared" ref="R18:R27" si="12">($Q18+$A18*100*0.005)*(1.03)^(-0.5)-$A18*100*0.0025</f>
        <v>1.0246369290151456</v>
      </c>
      <c r="S18" s="3">
        <f t="shared" ref="S18:S27" si="13">$A18*100*0.005*(1-(1.03)^(-($U18*2+1)))/0.03+(1.03)^(-($U18*2+1))</f>
        <v>1.0250005356182887</v>
      </c>
      <c r="T18" s="3">
        <f t="shared" ref="T18:T27" si="14">($S18+$A18*100*0.005)*(1.03)^(-0.5)-$A18*100*0.0025</f>
        <v>1.0251295778214164</v>
      </c>
      <c r="U18">
        <f t="shared" ref="U18:U27" si="15">IF(DATE($X18,DM,DD)&gt;DATE($X18,$N18,$O18),$X18-(DY-1900)-1,$X18-(DY-1900))</f>
        <v>15</v>
      </c>
      <c r="V18">
        <f t="shared" ref="V18:V27" si="16">IF($U18=$X18-DY+1900,$N18-DM,$N18+12-DM)</f>
        <v>11</v>
      </c>
      <c r="W18">
        <f t="shared" ref="W18:W27" si="17">TRUNC($V18/3)</f>
        <v>3</v>
      </c>
      <c r="X18">
        <f t="shared" ref="X18:X27" si="18">$M18-1900</f>
        <v>130</v>
      </c>
      <c r="Y18" s="1">
        <f t="shared" ref="Y18:Y26" si="19">IF(CDD&lt;AD18,DATE(CY-1,AC18,O18),IF(CDD&gt;AE18,AE18,AD18))</f>
        <v>41593</v>
      </c>
      <c r="Z18" s="1">
        <f t="shared" ref="Z18:AA26" si="20">IF(MONTH(Y18)&lt;=6,DATE((YEAR(Y18)-1900),MONTH(Y18)+6,DAY(Y18)),DATE((YEAR(Y18)-1900)+1,MONTH(Y18)-6,DAY(Y18)))</f>
        <v>41774</v>
      </c>
      <c r="AA18" s="1">
        <f t="shared" si="20"/>
        <v>41958</v>
      </c>
      <c r="AB18">
        <f t="shared" ref="AB18:AB26" si="21">IF(N18&lt;=6,N18,N18-6)</f>
        <v>5</v>
      </c>
      <c r="AC18">
        <f t="shared" ref="AC18:AC26" si="22">AB18+6</f>
        <v>11</v>
      </c>
      <c r="AD18" s="1">
        <f t="shared" ref="AD18:AD26" si="23">DATE(CY,AB18,O18)</f>
        <v>41774</v>
      </c>
      <c r="AE18" s="1">
        <f t="shared" ref="AE18:AE26" si="24">DATE(CY,AC18,O18)</f>
        <v>41958</v>
      </c>
    </row>
    <row r="19" spans="1:31" ht="12.75" customHeight="1">
      <c r="A19" s="20">
        <v>6.1249999999999999E-2</v>
      </c>
      <c r="B19" s="21">
        <v>47345</v>
      </c>
      <c r="C19" s="22">
        <v>138.125</v>
      </c>
      <c r="D19" s="23">
        <f t="shared" si="0"/>
        <v>139.93558951347254</v>
      </c>
      <c r="E19" s="23">
        <f t="shared" si="1"/>
        <v>139.26165681731601</v>
      </c>
      <c r="F19" s="23">
        <f t="shared" si="2"/>
        <v>-0.67393269615652684</v>
      </c>
      <c r="G19" s="23">
        <f t="shared" si="3"/>
        <v>138.390625</v>
      </c>
      <c r="H19" s="24">
        <f t="shared" si="4"/>
        <v>1.4381906077348066</v>
      </c>
      <c r="I19" s="24">
        <f t="shared" si="5"/>
        <v>1.9119475138121547</v>
      </c>
      <c r="J19" s="24">
        <f t="shared" si="6"/>
        <v>0</v>
      </c>
      <c r="K19" s="10"/>
      <c r="M19" s="6">
        <f t="shared" si="7"/>
        <v>2029</v>
      </c>
      <c r="N19" s="6">
        <f t="shared" si="8"/>
        <v>8</v>
      </c>
      <c r="O19" s="6">
        <f t="shared" si="9"/>
        <v>15</v>
      </c>
      <c r="P19" s="2">
        <f t="shared" si="10"/>
        <v>1.0122502758434186</v>
      </c>
      <c r="Q19" s="3">
        <f t="shared" si="11"/>
        <v>1.0122502758434186</v>
      </c>
      <c r="R19" s="3">
        <f t="shared" si="12"/>
        <v>1.0122630427621837</v>
      </c>
      <c r="S19" s="3">
        <f t="shared" si="13"/>
        <v>1.0125002678091444</v>
      </c>
      <c r="T19" s="3">
        <f t="shared" si="14"/>
        <v>1.0125093671653191</v>
      </c>
      <c r="U19">
        <f t="shared" si="15"/>
        <v>15</v>
      </c>
      <c r="V19">
        <f t="shared" si="16"/>
        <v>2</v>
      </c>
      <c r="W19">
        <f t="shared" si="17"/>
        <v>0</v>
      </c>
      <c r="X19">
        <f t="shared" si="18"/>
        <v>129</v>
      </c>
      <c r="Y19" s="1">
        <f t="shared" si="19"/>
        <v>41685</v>
      </c>
      <c r="Z19" s="1">
        <f t="shared" si="20"/>
        <v>41866</v>
      </c>
      <c r="AA19" s="1">
        <f t="shared" si="20"/>
        <v>42050</v>
      </c>
      <c r="AB19">
        <f t="shared" si="21"/>
        <v>2</v>
      </c>
      <c r="AC19">
        <f t="shared" si="22"/>
        <v>8</v>
      </c>
      <c r="AD19" s="1">
        <f t="shared" si="23"/>
        <v>41685</v>
      </c>
      <c r="AE19" s="1">
        <f t="shared" si="24"/>
        <v>41866</v>
      </c>
    </row>
    <row r="20" spans="1:31" ht="12.75" customHeight="1">
      <c r="A20" s="20">
        <v>5.3749999999999999E-2</v>
      </c>
      <c r="B20" s="21">
        <v>47894</v>
      </c>
      <c r="C20" s="22">
        <v>129.3175</v>
      </c>
      <c r="D20" s="23">
        <f t="shared" si="0"/>
        <v>131.35449948231428</v>
      </c>
      <c r="E20" s="23">
        <f t="shared" si="1"/>
        <v>128.56014908065481</v>
      </c>
      <c r="F20" s="23">
        <f t="shared" si="2"/>
        <v>-2.7943504016594716</v>
      </c>
      <c r="G20" s="23">
        <f t="shared" si="3"/>
        <v>129.9921875</v>
      </c>
      <c r="H20" s="24">
        <f t="shared" si="4"/>
        <v>1.2620856353591161</v>
      </c>
      <c r="I20" s="24">
        <f t="shared" si="5"/>
        <v>1.6778314917127073</v>
      </c>
      <c r="J20" s="24">
        <f t="shared" si="6"/>
        <v>0</v>
      </c>
      <c r="K20" s="10"/>
      <c r="M20" s="6">
        <f t="shared" si="7"/>
        <v>2031</v>
      </c>
      <c r="N20" s="6">
        <f t="shared" si="8"/>
        <v>2</v>
      </c>
      <c r="O20" s="6">
        <f t="shared" si="9"/>
        <v>15</v>
      </c>
      <c r="P20" s="2">
        <f t="shared" si="10"/>
        <v>0.935106900701554</v>
      </c>
      <c r="Q20" s="3">
        <f t="shared" si="11"/>
        <v>0.93628510772260065</v>
      </c>
      <c r="R20" s="3">
        <f t="shared" si="12"/>
        <v>0.93559235369895288</v>
      </c>
      <c r="S20" s="3">
        <f t="shared" si="13"/>
        <v>0.935106900701554</v>
      </c>
      <c r="T20" s="3">
        <f t="shared" si="14"/>
        <v>0.93443143182537691</v>
      </c>
      <c r="U20">
        <f t="shared" si="15"/>
        <v>16</v>
      </c>
      <c r="V20">
        <f t="shared" si="16"/>
        <v>8</v>
      </c>
      <c r="W20">
        <f t="shared" si="17"/>
        <v>2</v>
      </c>
      <c r="X20">
        <f t="shared" si="18"/>
        <v>131</v>
      </c>
      <c r="Y20" s="1">
        <f t="shared" si="19"/>
        <v>41685</v>
      </c>
      <c r="Z20" s="1">
        <f t="shared" si="20"/>
        <v>41866</v>
      </c>
      <c r="AA20" s="1">
        <f t="shared" si="20"/>
        <v>42050</v>
      </c>
      <c r="AB20">
        <f t="shared" si="21"/>
        <v>2</v>
      </c>
      <c r="AC20">
        <f t="shared" si="22"/>
        <v>8</v>
      </c>
      <c r="AD20" s="1">
        <f t="shared" si="23"/>
        <v>41685</v>
      </c>
      <c r="AE20" s="1">
        <f t="shared" si="24"/>
        <v>41866</v>
      </c>
    </row>
    <row r="21" spans="1:31" ht="12.75" customHeight="1">
      <c r="A21" s="20">
        <v>0.05</v>
      </c>
      <c r="B21" s="21">
        <v>50175</v>
      </c>
      <c r="C21" s="22">
        <v>128.14500000000001</v>
      </c>
      <c r="D21" s="23">
        <f t="shared" si="0"/>
        <v>128.49619437599779</v>
      </c>
      <c r="E21" s="23">
        <f t="shared" si="1"/>
        <v>119.2789061198299</v>
      </c>
      <c r="F21" s="23">
        <f t="shared" si="2"/>
        <v>-9.2172882561678904</v>
      </c>
      <c r="G21" s="23">
        <f t="shared" si="3"/>
        <v>128.45312500000003</v>
      </c>
      <c r="H21" s="24">
        <f t="shared" si="4"/>
        <v>2.4447513812154695</v>
      </c>
      <c r="I21" s="24">
        <f t="shared" si="5"/>
        <v>0.32608695652173914</v>
      </c>
      <c r="J21" s="24">
        <f t="shared" si="6"/>
        <v>2.5016362060257031</v>
      </c>
      <c r="K21" s="10"/>
      <c r="M21" s="6">
        <f t="shared" si="7"/>
        <v>2037</v>
      </c>
      <c r="N21" s="6">
        <f t="shared" si="8"/>
        <v>5</v>
      </c>
      <c r="O21" s="6">
        <f t="shared" si="9"/>
        <v>15</v>
      </c>
      <c r="P21" s="2">
        <f t="shared" si="10"/>
        <v>0.87666748346979761</v>
      </c>
      <c r="Q21" s="3">
        <f t="shared" si="11"/>
        <v>0.87872863041291316</v>
      </c>
      <c r="R21" s="3">
        <f t="shared" si="12"/>
        <v>0.8779702790611611</v>
      </c>
      <c r="S21" s="3">
        <f t="shared" si="13"/>
        <v>0.8774064372940904</v>
      </c>
      <c r="T21" s="3">
        <f t="shared" si="14"/>
        <v>0.87666748346979761</v>
      </c>
      <c r="U21">
        <f t="shared" si="15"/>
        <v>22</v>
      </c>
      <c r="V21">
        <f t="shared" si="16"/>
        <v>11</v>
      </c>
      <c r="W21">
        <f t="shared" si="17"/>
        <v>3</v>
      </c>
      <c r="X21">
        <f t="shared" si="18"/>
        <v>137</v>
      </c>
      <c r="Y21" s="1">
        <f t="shared" si="19"/>
        <v>41593</v>
      </c>
      <c r="Z21" s="1">
        <f t="shared" si="20"/>
        <v>41774</v>
      </c>
      <c r="AA21" s="1">
        <f t="shared" si="20"/>
        <v>41958</v>
      </c>
      <c r="AB21">
        <f t="shared" si="21"/>
        <v>5</v>
      </c>
      <c r="AC21">
        <f t="shared" si="22"/>
        <v>11</v>
      </c>
      <c r="AD21" s="1">
        <f t="shared" si="23"/>
        <v>41774</v>
      </c>
      <c r="AE21" s="1">
        <f t="shared" si="24"/>
        <v>41958</v>
      </c>
    </row>
    <row r="22" spans="1:31" ht="12.75" customHeight="1">
      <c r="A22" s="20">
        <v>4.7500000000000001E-2</v>
      </c>
      <c r="B22" s="21">
        <v>50086</v>
      </c>
      <c r="C22" s="22">
        <v>124.10250000000001</v>
      </c>
      <c r="D22" s="23">
        <f t="shared" si="0"/>
        <v>125.53142720756499</v>
      </c>
      <c r="E22" s="23">
        <f t="shared" si="1"/>
        <v>116.37721725705723</v>
      </c>
      <c r="F22" s="23">
        <f t="shared" si="2"/>
        <v>-9.154209950507763</v>
      </c>
      <c r="G22" s="23">
        <f t="shared" si="3"/>
        <v>124.32031250000001</v>
      </c>
      <c r="H22" s="24">
        <f t="shared" si="4"/>
        <v>1.1153314917127073</v>
      </c>
      <c r="I22" s="24">
        <f t="shared" si="5"/>
        <v>1.4827348066298343</v>
      </c>
      <c r="J22" s="24">
        <f t="shared" si="6"/>
        <v>0</v>
      </c>
      <c r="K22" s="10"/>
      <c r="M22" s="6">
        <f t="shared" si="7"/>
        <v>2037</v>
      </c>
      <c r="N22" s="6">
        <f t="shared" si="8"/>
        <v>2</v>
      </c>
      <c r="O22" s="6">
        <f t="shared" si="9"/>
        <v>15</v>
      </c>
      <c r="P22" s="2">
        <f t="shared" si="10"/>
        <v>0.84675804661761322</v>
      </c>
      <c r="Q22" s="3">
        <f t="shared" si="11"/>
        <v>0.84841078801614156</v>
      </c>
      <c r="R22" s="3">
        <f t="shared" si="12"/>
        <v>0.847490559699146</v>
      </c>
      <c r="S22" s="3">
        <f t="shared" si="13"/>
        <v>0.84675804661761322</v>
      </c>
      <c r="T22" s="3">
        <f t="shared" si="14"/>
        <v>0.84586206520994178</v>
      </c>
      <c r="U22">
        <f t="shared" si="15"/>
        <v>22</v>
      </c>
      <c r="V22">
        <f t="shared" si="16"/>
        <v>8</v>
      </c>
      <c r="W22">
        <f t="shared" si="17"/>
        <v>2</v>
      </c>
      <c r="X22">
        <f t="shared" si="18"/>
        <v>137</v>
      </c>
      <c r="Y22" s="1">
        <f t="shared" si="19"/>
        <v>41685</v>
      </c>
      <c r="Z22" s="1">
        <f t="shared" si="20"/>
        <v>41866</v>
      </c>
      <c r="AA22" s="1">
        <f t="shared" si="20"/>
        <v>42050</v>
      </c>
      <c r="AB22">
        <f t="shared" si="21"/>
        <v>2</v>
      </c>
      <c r="AC22">
        <f t="shared" si="22"/>
        <v>8</v>
      </c>
      <c r="AD22" s="1">
        <f t="shared" si="23"/>
        <v>41685</v>
      </c>
      <c r="AE22" s="1">
        <f t="shared" si="24"/>
        <v>41866</v>
      </c>
    </row>
    <row r="23" spans="1:31" ht="12.75" customHeight="1">
      <c r="A23" s="20">
        <v>4.3749999999999997E-2</v>
      </c>
      <c r="B23" s="21">
        <v>50451</v>
      </c>
      <c r="C23" s="22">
        <v>118.0275</v>
      </c>
      <c r="D23" s="23">
        <f t="shared" si="0"/>
        <v>119.20417188761834</v>
      </c>
      <c r="E23" s="23">
        <f t="shared" si="1"/>
        <v>109.46441393615002</v>
      </c>
      <c r="F23" s="23">
        <f t="shared" si="2"/>
        <v>-9.7397579514683201</v>
      </c>
      <c r="G23" s="23">
        <f t="shared" si="3"/>
        <v>118.08593750000001</v>
      </c>
      <c r="H23" s="24">
        <f t="shared" si="4"/>
        <v>1.027279005524862</v>
      </c>
      <c r="I23" s="24">
        <f t="shared" si="5"/>
        <v>1.3656767955801106</v>
      </c>
      <c r="J23" s="24">
        <f t="shared" si="6"/>
        <v>0</v>
      </c>
      <c r="K23" s="10"/>
      <c r="M23" s="6">
        <f t="shared" si="7"/>
        <v>2038</v>
      </c>
      <c r="N23" s="6">
        <f t="shared" si="8"/>
        <v>2</v>
      </c>
      <c r="O23" s="6">
        <f t="shared" si="9"/>
        <v>15</v>
      </c>
      <c r="P23" s="2">
        <f t="shared" si="10"/>
        <v>0.79667424884805094</v>
      </c>
      <c r="Q23" s="3">
        <f t="shared" si="11"/>
        <v>0.79869947631349247</v>
      </c>
      <c r="R23" s="3">
        <f t="shared" si="12"/>
        <v>0.7975985564260164</v>
      </c>
      <c r="S23" s="3">
        <f t="shared" si="13"/>
        <v>0.79667424884805094</v>
      </c>
      <c r="T23" s="3">
        <f t="shared" si="14"/>
        <v>0.79560304050937436</v>
      </c>
      <c r="U23">
        <f t="shared" si="15"/>
        <v>23</v>
      </c>
      <c r="V23">
        <f t="shared" si="16"/>
        <v>8</v>
      </c>
      <c r="W23">
        <f t="shared" si="17"/>
        <v>2</v>
      </c>
      <c r="X23">
        <f t="shared" si="18"/>
        <v>138</v>
      </c>
      <c r="Y23" s="1">
        <f t="shared" si="19"/>
        <v>41685</v>
      </c>
      <c r="Z23" s="1">
        <f t="shared" si="20"/>
        <v>41866</v>
      </c>
      <c r="AA23" s="1">
        <f t="shared" si="20"/>
        <v>42050</v>
      </c>
      <c r="AB23">
        <f t="shared" si="21"/>
        <v>2</v>
      </c>
      <c r="AC23">
        <f t="shared" si="22"/>
        <v>8</v>
      </c>
      <c r="AD23" s="1">
        <f t="shared" si="23"/>
        <v>41685</v>
      </c>
      <c r="AE23" s="1">
        <f t="shared" si="24"/>
        <v>41866</v>
      </c>
    </row>
    <row r="24" spans="1:31" ht="12.75" customHeight="1">
      <c r="A24" s="20">
        <v>4.4999999999999998E-2</v>
      </c>
      <c r="B24" s="21">
        <v>49720</v>
      </c>
      <c r="C24" s="22">
        <v>120.035</v>
      </c>
      <c r="D24" s="23">
        <f t="shared" si="0"/>
        <v>121.25852773464888</v>
      </c>
      <c r="E24" s="23">
        <f t="shared" si="1"/>
        <v>112.68686353808678</v>
      </c>
      <c r="F24" s="23">
        <f t="shared" si="2"/>
        <v>-8.5716641965620965</v>
      </c>
      <c r="G24" s="23">
        <f t="shared" si="3"/>
        <v>120.10937499999999</v>
      </c>
      <c r="H24" s="24">
        <f t="shared" si="4"/>
        <v>1.0566298342541436</v>
      </c>
      <c r="I24" s="24">
        <f t="shared" si="5"/>
        <v>1.4046961325966851</v>
      </c>
      <c r="J24" s="24">
        <f t="shared" si="6"/>
        <v>0</v>
      </c>
      <c r="K24" s="10"/>
      <c r="M24" s="6">
        <f t="shared" si="7"/>
        <v>2036</v>
      </c>
      <c r="N24" s="6">
        <f t="shared" si="8"/>
        <v>2</v>
      </c>
      <c r="O24" s="6">
        <f t="shared" si="9"/>
        <v>15</v>
      </c>
      <c r="P24" s="2">
        <f t="shared" si="10"/>
        <v>0.82013573398795103</v>
      </c>
      <c r="Q24" s="3">
        <f t="shared" si="11"/>
        <v>0.8222398060075895</v>
      </c>
      <c r="R24" s="3">
        <f t="shared" si="12"/>
        <v>0.82109686329010323</v>
      </c>
      <c r="S24" s="3">
        <f t="shared" si="13"/>
        <v>0.82013573398795103</v>
      </c>
      <c r="T24" s="3">
        <f t="shared" si="14"/>
        <v>0.81902365952578715</v>
      </c>
      <c r="U24">
        <f t="shared" si="15"/>
        <v>21</v>
      </c>
      <c r="V24">
        <f t="shared" si="16"/>
        <v>8</v>
      </c>
      <c r="W24">
        <f t="shared" si="17"/>
        <v>2</v>
      </c>
      <c r="X24">
        <f t="shared" si="18"/>
        <v>136</v>
      </c>
      <c r="Y24" s="1">
        <f t="shared" si="19"/>
        <v>41685</v>
      </c>
      <c r="Z24" s="1">
        <f t="shared" si="20"/>
        <v>41866</v>
      </c>
      <c r="AA24" s="1">
        <f t="shared" si="20"/>
        <v>42050</v>
      </c>
      <c r="AB24">
        <f t="shared" si="21"/>
        <v>2</v>
      </c>
      <c r="AC24">
        <f t="shared" si="22"/>
        <v>8</v>
      </c>
      <c r="AD24" s="1">
        <f t="shared" si="23"/>
        <v>41685</v>
      </c>
      <c r="AE24" s="1">
        <f t="shared" si="24"/>
        <v>41866</v>
      </c>
    </row>
    <row r="25" spans="1:31" ht="12.75" customHeight="1">
      <c r="A25" s="20">
        <v>4.4999999999999998E-2</v>
      </c>
      <c r="B25" s="21">
        <v>50540</v>
      </c>
      <c r="C25" s="22">
        <v>120.0925</v>
      </c>
      <c r="D25" s="23">
        <f t="shared" si="0"/>
        <v>120.33139956172624</v>
      </c>
      <c r="E25" s="23">
        <f>$O$14*P25+I25</f>
        <v>110.37910215573369</v>
      </c>
      <c r="F25" s="23">
        <f>E25-D25</f>
        <v>-9.9522974059925531</v>
      </c>
      <c r="G25" s="23">
        <f t="shared" si="3"/>
        <v>120.2890625</v>
      </c>
      <c r="H25" s="24">
        <f t="shared" si="4"/>
        <v>2.2002762430939224</v>
      </c>
      <c r="I25" s="24">
        <f t="shared" si="5"/>
        <v>0.29347826086956524</v>
      </c>
      <c r="J25" s="24">
        <f t="shared" si="6"/>
        <v>2.2514725854231328</v>
      </c>
      <c r="K25" s="10"/>
      <c r="M25" s="6">
        <f t="shared" si="7"/>
        <v>2038</v>
      </c>
      <c r="N25" s="6">
        <f t="shared" si="8"/>
        <v>5</v>
      </c>
      <c r="O25" s="6">
        <f t="shared" si="9"/>
        <v>15</v>
      </c>
      <c r="P25" s="2">
        <f t="shared" si="10"/>
        <v>0.81131735712474717</v>
      </c>
      <c r="Q25" s="3">
        <f t="shared" si="11"/>
        <v>0.81418413198168516</v>
      </c>
      <c r="R25" s="3">
        <f t="shared" si="12"/>
        <v>0.81315937181703202</v>
      </c>
      <c r="S25" s="3">
        <f t="shared" si="13"/>
        <v>0.81231469124435463</v>
      </c>
      <c r="T25" s="3">
        <f t="shared" si="14"/>
        <v>0.81131735712474717</v>
      </c>
      <c r="U25">
        <f t="shared" si="15"/>
        <v>23</v>
      </c>
      <c r="V25">
        <f t="shared" si="16"/>
        <v>11</v>
      </c>
      <c r="W25">
        <f t="shared" si="17"/>
        <v>3</v>
      </c>
      <c r="X25">
        <f t="shared" si="18"/>
        <v>138</v>
      </c>
      <c r="Y25" s="1">
        <f t="shared" si="19"/>
        <v>41593</v>
      </c>
      <c r="Z25" s="1">
        <f t="shared" si="20"/>
        <v>41774</v>
      </c>
      <c r="AA25" s="1">
        <f t="shared" si="20"/>
        <v>41958</v>
      </c>
      <c r="AB25">
        <f t="shared" si="21"/>
        <v>5</v>
      </c>
      <c r="AC25">
        <f t="shared" si="22"/>
        <v>11</v>
      </c>
      <c r="AD25" s="1">
        <f t="shared" si="23"/>
        <v>41774</v>
      </c>
      <c r="AE25" s="1">
        <f t="shared" si="24"/>
        <v>41958</v>
      </c>
    </row>
    <row r="26" spans="1:31" ht="12.75" customHeight="1">
      <c r="A26" s="20">
        <v>4.2500000000000003E-2</v>
      </c>
      <c r="B26" s="21">
        <v>50905</v>
      </c>
      <c r="C26" s="22">
        <v>116.035</v>
      </c>
      <c r="D26" s="23">
        <f t="shared" si="0"/>
        <v>116.15127133384347</v>
      </c>
      <c r="E26" s="23">
        <f>$O$14*P26+I26</f>
        <v>105.54036739342071</v>
      </c>
      <c r="F26" s="23">
        <f>E26-D26</f>
        <v>-10.610903940422759</v>
      </c>
      <c r="G26" s="23">
        <f t="shared" si="3"/>
        <v>116.10937499999999</v>
      </c>
      <c r="H26" s="24">
        <f t="shared" si="4"/>
        <v>2.0780386740331491</v>
      </c>
      <c r="I26" s="24">
        <f t="shared" si="5"/>
        <v>0.27717391304347827</v>
      </c>
      <c r="J26" s="24">
        <f t="shared" si="6"/>
        <v>2.1263907751218474</v>
      </c>
      <c r="K26" s="10"/>
      <c r="M26" s="6">
        <f t="shared" si="7"/>
        <v>2039</v>
      </c>
      <c r="N26" s="6">
        <f t="shared" si="8"/>
        <v>5</v>
      </c>
      <c r="O26" s="6">
        <f t="shared" si="9"/>
        <v>15</v>
      </c>
      <c r="P26" s="2">
        <f t="shared" si="10"/>
        <v>0.77577664471950047</v>
      </c>
      <c r="Q26" s="3">
        <f t="shared" si="11"/>
        <v>0.77891631694344377</v>
      </c>
      <c r="R26" s="3">
        <f t="shared" si="12"/>
        <v>0.77780229948526447</v>
      </c>
      <c r="S26" s="3">
        <f t="shared" si="13"/>
        <v>0.77686050188683864</v>
      </c>
      <c r="T26" s="3">
        <f t="shared" si="14"/>
        <v>0.77577664471950047</v>
      </c>
      <c r="U26">
        <f t="shared" si="15"/>
        <v>24</v>
      </c>
      <c r="V26">
        <f t="shared" si="16"/>
        <v>11</v>
      </c>
      <c r="W26">
        <f t="shared" si="17"/>
        <v>3</v>
      </c>
      <c r="X26">
        <f t="shared" si="18"/>
        <v>139</v>
      </c>
      <c r="Y26" s="1">
        <f t="shared" si="19"/>
        <v>41593</v>
      </c>
      <c r="Z26" s="1">
        <f t="shared" si="20"/>
        <v>41774</v>
      </c>
      <c r="AA26" s="1">
        <f t="shared" si="20"/>
        <v>41958</v>
      </c>
      <c r="AB26">
        <f t="shared" si="21"/>
        <v>5</v>
      </c>
      <c r="AC26">
        <f t="shared" si="22"/>
        <v>11</v>
      </c>
      <c r="AD26" s="1">
        <f t="shared" si="23"/>
        <v>41774</v>
      </c>
      <c r="AE26" s="1">
        <f t="shared" si="24"/>
        <v>41958</v>
      </c>
    </row>
    <row r="27" spans="1:31" ht="12.75" customHeight="1">
      <c r="A27" s="20">
        <v>3.5000000000000003E-2</v>
      </c>
      <c r="B27" s="21">
        <v>50816</v>
      </c>
      <c r="C27" s="22">
        <v>103.005</v>
      </c>
      <c r="D27" s="23">
        <f t="shared" ref="D27" si="25">(+G27+H27)*(1+RR)^((DDD-CDD)/365)-J27</f>
        <v>103.91673894187223</v>
      </c>
      <c r="E27" s="23">
        <f>$O$14*P27+I27</f>
        <v>93.526840507564685</v>
      </c>
      <c r="F27" s="23">
        <f>E27-D27</f>
        <v>-10.38989843430754</v>
      </c>
      <c r="G27" s="23">
        <f t="shared" si="3"/>
        <v>103.01562499999999</v>
      </c>
      <c r="H27" s="24">
        <f t="shared" ref="H27" si="26">(A27*100/2)*(CDD-Y27)/(Z27-Y27)</f>
        <v>0.82182320441988965</v>
      </c>
      <c r="I27" s="24">
        <f t="shared" ref="I27" si="27">IF(Z27&gt;DDD,(A27*100/2)*(DDD-Y27)/(Z27-Y27),(A27*100/2)*(DDD-Z27)/(AA27-Z27))</f>
        <v>1.0925414364640886</v>
      </c>
      <c r="J27" s="24">
        <f t="shared" ref="J27" si="28">IF(Z27&gt;DDD,0,(A27*100/2)*(1+RR)^((DDD-Z27)/365))</f>
        <v>0</v>
      </c>
      <c r="K27" s="10"/>
      <c r="M27" s="6">
        <f t="shared" ref="M27" si="29">YEAR(B27)</f>
        <v>2039</v>
      </c>
      <c r="N27" s="6">
        <f t="shared" ref="N27" si="30">MONTH(B27)</f>
        <v>2</v>
      </c>
      <c r="O27" s="6">
        <f t="shared" ref="O27" si="31">DAY(B27)</f>
        <v>15</v>
      </c>
      <c r="P27" s="2">
        <f t="shared" ref="P27" si="32">IF(A27=0.06,1,CHOOSE($W27+1,$Q27,$R27,$S27,$T27))</f>
        <v>0.68122928840976948</v>
      </c>
      <c r="Q27" s="3">
        <f t="shared" si="11"/>
        <v>0.68416616706206246</v>
      </c>
      <c r="R27" s="3">
        <f t="shared" si="12"/>
        <v>0.68262221790356825</v>
      </c>
      <c r="S27" s="3">
        <f t="shared" si="13"/>
        <v>0.68122928840976948</v>
      </c>
      <c r="T27" s="3">
        <f t="shared" si="14"/>
        <v>0.67972842538104827</v>
      </c>
      <c r="U27">
        <f t="shared" si="15"/>
        <v>24</v>
      </c>
      <c r="V27">
        <f t="shared" si="16"/>
        <v>8</v>
      </c>
      <c r="W27">
        <f t="shared" si="17"/>
        <v>2</v>
      </c>
      <c r="X27">
        <f t="shared" si="18"/>
        <v>139</v>
      </c>
      <c r="Y27" s="1">
        <f t="shared" ref="Y27" si="33">IF(CDD&lt;AD27,DATE(CY-1,AC27,O27),IF(CDD&gt;AE27,AE27,AD27))</f>
        <v>41685</v>
      </c>
      <c r="Z27" s="1">
        <f t="shared" ref="Z27" si="34">IF(MONTH(Y27)&lt;=6,DATE((YEAR(Y27)-1900),MONTH(Y27)+6,DAY(Y27)),DATE((YEAR(Y27)-1900)+1,MONTH(Y27)-6,DAY(Y27)))</f>
        <v>41866</v>
      </c>
      <c r="AA27" s="1">
        <f t="shared" ref="AA27" si="35">IF(MONTH(Z27)&lt;=6,DATE((YEAR(Z27)-1900),MONTH(Z27)+6,DAY(Z27)),DATE((YEAR(Z27)-1900)+1,MONTH(Z27)-6,DAY(Z27)))</f>
        <v>42050</v>
      </c>
      <c r="AB27">
        <f t="shared" ref="AB27" si="36">IF(N27&lt;=6,N27,N27-6)</f>
        <v>2</v>
      </c>
      <c r="AC27">
        <f t="shared" ref="AC27" si="37">AB27+6</f>
        <v>8</v>
      </c>
      <c r="AD27" s="1">
        <f t="shared" ref="AD27" si="38">DATE(CY,AB27,O27)</f>
        <v>41685</v>
      </c>
      <c r="AE27" s="1">
        <f t="shared" ref="AE27" si="39">DATE(CY,AC27,O27)</f>
        <v>41866</v>
      </c>
    </row>
    <row r="28" spans="1:31" ht="12.75" customHeight="1" thickBot="1">
      <c r="A28" s="25"/>
      <c r="B28" s="25"/>
      <c r="C28" s="26"/>
      <c r="D28" s="27"/>
      <c r="E28" s="27"/>
      <c r="F28" s="27"/>
      <c r="G28" s="27"/>
      <c r="H28" s="27"/>
      <c r="I28" s="27"/>
      <c r="J28" s="27"/>
      <c r="K28" s="10"/>
    </row>
    <row r="29" spans="1:31" ht="12.75" customHeight="1" thickTop="1">
      <c r="A29" s="28"/>
      <c r="B29" s="28"/>
      <c r="C29" s="28"/>
      <c r="D29" s="28"/>
      <c r="E29" s="28"/>
      <c r="F29" s="28"/>
      <c r="G29" s="28"/>
      <c r="H29" s="28"/>
      <c r="I29" s="28"/>
      <c r="J29" s="28"/>
      <c r="K29" s="27"/>
    </row>
  </sheetData>
  <sheetCalcPr fullCalcOnLoad="1"/>
  <phoneticPr fontId="0" type="noConversion"/>
  <pageMargins left="0.75" right="0.75" top="1" bottom="1" header="0.5" footer="0.5"/>
  <headerFooter alignWithMargins="0">
    <oddHeader>ctd.xls</oddHeader>
    <oddFooter>Page &amp;P</oddFooter>
  </headerFooter>
  <drawing r:id="rId1"/>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dimension ref="A1:K20"/>
  <sheetViews>
    <sheetView workbookViewId="0">
      <selection activeCell="Q7" sqref="Q7"/>
    </sheetView>
  </sheetViews>
  <sheetFormatPr baseColWidth="10" defaultColWidth="8.83203125" defaultRowHeight="12"/>
  <sheetData>
    <row r="1" spans="1:11">
      <c r="A1" s="29"/>
      <c r="B1" s="29"/>
      <c r="C1" s="29"/>
      <c r="D1" s="29"/>
      <c r="E1" s="29"/>
      <c r="F1" s="29"/>
      <c r="G1" s="29"/>
      <c r="H1" s="29"/>
      <c r="I1" s="29"/>
      <c r="J1" s="29"/>
      <c r="K1" s="30"/>
    </row>
    <row r="2" spans="1:11">
      <c r="A2" s="29"/>
      <c r="B2" s="29"/>
      <c r="C2" s="29"/>
      <c r="D2" s="29"/>
      <c r="E2" s="29"/>
      <c r="F2" s="29"/>
      <c r="G2" s="29"/>
      <c r="H2" s="29"/>
      <c r="I2" s="29"/>
      <c r="J2" s="29"/>
      <c r="K2" s="30"/>
    </row>
    <row r="3" spans="1:11">
      <c r="A3" s="29"/>
      <c r="B3" s="29"/>
      <c r="C3" s="29"/>
      <c r="D3" s="29"/>
      <c r="E3" s="29"/>
      <c r="F3" s="29"/>
      <c r="G3" s="29"/>
      <c r="H3" s="29"/>
      <c r="I3" s="29"/>
      <c r="J3" s="29"/>
      <c r="K3" s="30"/>
    </row>
    <row r="4" spans="1:11">
      <c r="A4" s="29"/>
      <c r="B4" s="29"/>
      <c r="C4" s="29"/>
      <c r="D4" s="29"/>
      <c r="E4" s="29"/>
      <c r="F4" s="29"/>
      <c r="G4" s="29"/>
      <c r="H4" s="29"/>
      <c r="I4" s="29"/>
      <c r="J4" s="29"/>
      <c r="K4" s="30"/>
    </row>
    <row r="5" spans="1:11">
      <c r="A5" s="29"/>
      <c r="B5" s="29"/>
      <c r="C5" s="29"/>
      <c r="D5" s="29"/>
      <c r="E5" s="29"/>
      <c r="F5" s="29"/>
      <c r="G5" s="29"/>
      <c r="H5" s="29"/>
      <c r="I5" s="29"/>
      <c r="J5" s="29"/>
      <c r="K5" s="30"/>
    </row>
    <row r="6" spans="1:11">
      <c r="A6" s="29"/>
      <c r="B6" s="29"/>
      <c r="C6" s="29"/>
      <c r="D6" s="29"/>
      <c r="E6" s="29"/>
      <c r="F6" s="29"/>
      <c r="G6" s="29"/>
      <c r="H6" s="29"/>
      <c r="I6" s="29"/>
      <c r="J6" s="29"/>
      <c r="K6" s="30"/>
    </row>
    <row r="7" spans="1:11">
      <c r="A7" s="29"/>
      <c r="B7" s="29"/>
      <c r="C7" s="29"/>
      <c r="D7" s="29"/>
      <c r="E7" s="29"/>
      <c r="F7" s="29"/>
      <c r="G7" s="29"/>
      <c r="H7" s="29"/>
      <c r="I7" s="29"/>
      <c r="J7" s="29"/>
      <c r="K7" s="30"/>
    </row>
    <row r="8" spans="1:11">
      <c r="A8" s="29"/>
      <c r="B8" s="29"/>
      <c r="C8" s="29"/>
      <c r="D8" s="29"/>
      <c r="E8" s="29"/>
      <c r="F8" s="29"/>
      <c r="G8" s="29"/>
      <c r="H8" s="29"/>
      <c r="I8" s="29"/>
      <c r="J8" s="29"/>
      <c r="K8" s="30"/>
    </row>
    <row r="9" spans="1:11">
      <c r="A9" s="29"/>
      <c r="B9" s="29"/>
      <c r="C9" s="29"/>
      <c r="D9" s="29"/>
      <c r="E9" s="29"/>
      <c r="F9" s="29"/>
      <c r="G9" s="29"/>
      <c r="H9" s="29"/>
      <c r="I9" s="29"/>
      <c r="J9" s="29"/>
      <c r="K9" s="30"/>
    </row>
    <row r="10" spans="1:11">
      <c r="A10" s="29"/>
      <c r="B10" s="29"/>
      <c r="C10" s="29"/>
      <c r="D10" s="29"/>
      <c r="E10" s="29"/>
      <c r="F10" s="29"/>
      <c r="G10" s="29"/>
      <c r="H10" s="29"/>
      <c r="I10" s="29"/>
      <c r="J10" s="29"/>
      <c r="K10" s="30"/>
    </row>
    <row r="11" spans="1:11">
      <c r="A11" s="29"/>
      <c r="B11" s="29"/>
      <c r="C11" s="29"/>
      <c r="D11" s="29"/>
      <c r="E11" s="29"/>
      <c r="F11" s="29"/>
      <c r="G11" s="29"/>
      <c r="H11" s="29"/>
      <c r="I11" s="29"/>
      <c r="J11" s="29"/>
      <c r="K11" s="30"/>
    </row>
    <row r="12" spans="1:11">
      <c r="A12" s="29"/>
      <c r="B12" s="29"/>
      <c r="C12" s="29"/>
      <c r="D12" s="29"/>
      <c r="E12" s="29"/>
      <c r="F12" s="29"/>
      <c r="G12" s="29"/>
      <c r="H12" s="29"/>
      <c r="I12" s="29"/>
      <c r="J12" s="29"/>
      <c r="K12" s="30"/>
    </row>
    <row r="13" spans="1:11">
      <c r="A13" s="29"/>
      <c r="B13" s="29"/>
      <c r="C13" s="29"/>
      <c r="D13" s="29"/>
      <c r="E13" s="29"/>
      <c r="F13" s="29"/>
      <c r="G13" s="29"/>
      <c r="H13" s="29"/>
      <c r="I13" s="29"/>
      <c r="J13" s="29"/>
      <c r="K13" s="30"/>
    </row>
    <row r="14" spans="1:11">
      <c r="A14" s="29"/>
      <c r="B14" s="29"/>
      <c r="C14" s="29"/>
      <c r="D14" s="29"/>
      <c r="E14" s="29"/>
      <c r="F14" s="29"/>
      <c r="G14" s="29"/>
      <c r="H14" s="29"/>
      <c r="I14" s="29"/>
      <c r="J14" s="29"/>
      <c r="K14" s="30"/>
    </row>
    <row r="15" spans="1:11">
      <c r="A15" s="29"/>
      <c r="B15" s="29"/>
      <c r="C15" s="29"/>
      <c r="D15" s="29"/>
      <c r="E15" s="29"/>
      <c r="F15" s="29"/>
      <c r="G15" s="29"/>
      <c r="H15" s="29"/>
      <c r="I15" s="29"/>
      <c r="J15" s="29"/>
      <c r="K15" s="30"/>
    </row>
    <row r="16" spans="1:11">
      <c r="A16" s="29"/>
      <c r="B16" s="29"/>
      <c r="C16" s="29"/>
      <c r="D16" s="29"/>
      <c r="E16" s="29"/>
      <c r="F16" s="29"/>
      <c r="G16" s="29"/>
      <c r="H16" s="29"/>
      <c r="I16" s="29"/>
      <c r="J16" s="29"/>
      <c r="K16" s="30"/>
    </row>
    <row r="17" spans="1:11">
      <c r="A17" s="29"/>
      <c r="B17" s="29"/>
      <c r="C17" s="29"/>
      <c r="D17" s="29"/>
      <c r="E17" s="29"/>
      <c r="F17" s="29"/>
      <c r="G17" s="29"/>
      <c r="H17" s="29"/>
      <c r="I17" s="29"/>
      <c r="J17" s="29"/>
      <c r="K17" s="30"/>
    </row>
    <row r="18" spans="1:11">
      <c r="A18" s="29"/>
      <c r="B18" s="29"/>
      <c r="C18" s="29"/>
      <c r="D18" s="29"/>
      <c r="E18" s="29"/>
      <c r="F18" s="29"/>
      <c r="G18" s="29"/>
      <c r="H18" s="29"/>
      <c r="I18" s="29"/>
      <c r="J18" s="29"/>
      <c r="K18" s="30"/>
    </row>
    <row r="19" spans="1:11" ht="13" thickBot="1">
      <c r="A19" s="31"/>
      <c r="B19" s="31"/>
      <c r="C19" s="31"/>
      <c r="D19" s="31"/>
      <c r="E19" s="31"/>
      <c r="F19" s="31"/>
      <c r="G19" s="31"/>
      <c r="H19" s="31"/>
      <c r="I19" s="31"/>
      <c r="J19" s="31"/>
      <c r="K19" s="32"/>
    </row>
    <row r="20" spans="1:11" ht="13.5" thickTop="1"/>
  </sheetData>
  <sheetCalcPr fullCalcOnLoad="1"/>
  <phoneticPr fontId="0" type="noConversion"/>
  <pageMargins left="0.75" right="0.75" top="1" bottom="1" header="0.5" footer="0.5"/>
  <headerFooter alignWithMargins="0">
    <oddHeader>&amp;A</oddHeader>
    <oddFooter>Page &amp;P</oddFooter>
  </headerFooter>
  <drawing r:id="rId1"/>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dimension ref="A1:H14"/>
  <sheetViews>
    <sheetView workbookViewId="0">
      <selection activeCell="K37" sqref="K37:K38"/>
    </sheetView>
  </sheetViews>
  <sheetFormatPr baseColWidth="10" defaultColWidth="8.83203125" defaultRowHeight="12"/>
  <sheetData>
    <row r="1" spans="1:8">
      <c r="A1" s="8"/>
      <c r="B1" s="8"/>
      <c r="C1" s="8"/>
      <c r="D1" s="8"/>
      <c r="E1" s="8"/>
      <c r="F1" s="8"/>
      <c r="G1" s="8"/>
      <c r="H1" s="8"/>
    </row>
    <row r="2" spans="1:8">
      <c r="A2" s="8"/>
      <c r="B2" s="8"/>
      <c r="C2" s="8"/>
      <c r="D2" s="8"/>
      <c r="E2" s="8"/>
      <c r="F2" s="8"/>
      <c r="G2" s="8"/>
      <c r="H2" s="8"/>
    </row>
    <row r="3" spans="1:8">
      <c r="A3" s="8"/>
      <c r="B3" s="8"/>
      <c r="C3" s="8"/>
      <c r="D3" s="8"/>
      <c r="E3" s="8"/>
      <c r="F3" s="8"/>
      <c r="G3" s="8"/>
      <c r="H3" s="8"/>
    </row>
    <row r="4" spans="1:8">
      <c r="A4" s="8"/>
      <c r="B4" s="8"/>
      <c r="C4" s="8"/>
      <c r="D4" s="8"/>
      <c r="E4" s="8"/>
      <c r="F4" s="8"/>
      <c r="G4" s="8"/>
      <c r="H4" s="8"/>
    </row>
    <row r="5" spans="1:8">
      <c r="A5" s="8"/>
      <c r="B5" s="8"/>
      <c r="C5" s="8"/>
      <c r="D5" s="8"/>
      <c r="E5" s="8"/>
      <c r="F5" s="8"/>
      <c r="G5" s="8"/>
      <c r="H5" s="8"/>
    </row>
    <row r="6" spans="1:8">
      <c r="A6" s="8"/>
      <c r="B6" s="8"/>
      <c r="C6" s="8"/>
      <c r="D6" s="8"/>
      <c r="E6" s="8"/>
      <c r="F6" s="8"/>
      <c r="G6" s="8"/>
      <c r="H6" s="8"/>
    </row>
    <row r="7" spans="1:8">
      <c r="A7" s="8"/>
      <c r="B7" s="8"/>
      <c r="C7" s="8"/>
      <c r="D7" s="8"/>
      <c r="E7" s="8"/>
      <c r="F7" s="8"/>
      <c r="G7" s="8"/>
      <c r="H7" s="8"/>
    </row>
    <row r="8" spans="1:8">
      <c r="A8" s="8"/>
      <c r="B8" s="8"/>
      <c r="C8" s="8"/>
      <c r="D8" s="8"/>
      <c r="E8" s="8"/>
      <c r="F8" s="8"/>
      <c r="G8" s="8"/>
      <c r="H8" s="8"/>
    </row>
    <row r="9" spans="1:8">
      <c r="A9" s="8"/>
      <c r="B9" s="8"/>
      <c r="C9" s="8"/>
      <c r="D9" s="8"/>
      <c r="E9" s="8"/>
      <c r="F9" s="8"/>
      <c r="G9" s="8"/>
      <c r="H9" s="8"/>
    </row>
    <row r="10" spans="1:8">
      <c r="A10" s="8"/>
      <c r="B10" s="8"/>
      <c r="C10" s="8"/>
      <c r="D10" s="8"/>
      <c r="E10" s="8"/>
      <c r="F10" s="8"/>
      <c r="G10" s="8"/>
      <c r="H10" s="8"/>
    </row>
    <row r="11" spans="1:8">
      <c r="A11" s="8"/>
      <c r="B11" s="8"/>
      <c r="C11" s="8"/>
      <c r="D11" s="8"/>
      <c r="E11" s="8"/>
      <c r="F11" s="8"/>
      <c r="G11" s="8"/>
      <c r="H11" s="8"/>
    </row>
    <row r="12" spans="1:8">
      <c r="A12" s="8"/>
      <c r="B12" s="8"/>
      <c r="C12" s="8"/>
      <c r="D12" s="8"/>
      <c r="E12" s="8"/>
      <c r="F12" s="8"/>
      <c r="G12" s="8"/>
      <c r="H12" s="8"/>
    </row>
    <row r="13" spans="1:8">
      <c r="A13" s="8"/>
      <c r="B13" s="8"/>
      <c r="C13" s="8"/>
      <c r="D13" s="8"/>
      <c r="E13" s="8"/>
      <c r="F13" s="8"/>
      <c r="G13" s="8"/>
      <c r="H13" s="8"/>
    </row>
    <row r="14" spans="1:8">
      <c r="A14" s="8"/>
      <c r="B14" s="8"/>
      <c r="C14" s="8"/>
      <c r="D14" s="8"/>
      <c r="E14" s="8"/>
      <c r="F14" s="8"/>
      <c r="G14" s="8"/>
      <c r="H14" s="8"/>
    </row>
  </sheetData>
  <sheetCalcPr fullCalcOnLoad="1"/>
  <phoneticPr fontId="0" type="noConversion"/>
  <pageMargins left="0.75" right="0.75" top="1" bottom="1" header="0.5" footer="0.5"/>
  <headerFooter alignWithMargins="0">
    <oddHeader>&amp;A</oddHeader>
    <oddFooter>Page &amp;P</oddFooter>
  </headerFooter>
  <drawing r:id="rId1"/>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CheapestToDeliver</vt:lpstr>
      <vt:lpstr>Instructions</vt:lpstr>
      <vt:lpstr>About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 Chance</dc:creator>
  <cp:lastModifiedBy>Robert Brooks</cp:lastModifiedBy>
  <cp:lastPrinted>2014-05-02T15:07:41Z</cp:lastPrinted>
  <dcterms:created xsi:type="dcterms:W3CDTF">1996-08-29T23:20:34Z</dcterms:created>
  <dcterms:modified xsi:type="dcterms:W3CDTF">2014-05-06T18:09:58Z</dcterms:modified>
</cp:coreProperties>
</file>