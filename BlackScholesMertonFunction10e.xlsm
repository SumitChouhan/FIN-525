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360" yWindow="285" windowWidth="9180" windowHeight="4815"/>
  </bookViews>
  <sheets>
    <sheet name="Function" sheetId="1" r:id="rId1"/>
    <sheet name="Instructions" sheetId="3" r:id="rId2"/>
    <sheet name="About" sheetId="4" r:id="rId3"/>
  </sheets>
  <functionGroups builtInGroupCount="17"/>
  <calcPr calcId="145621"/>
</workbook>
</file>

<file path=xl/calcChain.xml><?xml version="1.0" encoding="utf-8"?>
<calcChain xmlns="http://schemas.openxmlformats.org/spreadsheetml/2006/main">
  <c r="B15" i="1" l="1"/>
  <c r="E24" i="1"/>
  <c r="E23" i="1"/>
  <c r="E17" i="1"/>
  <c r="E20" i="1"/>
  <c r="F16" i="1"/>
  <c r="E14" i="1"/>
  <c r="E21" i="1"/>
  <c r="E13" i="1"/>
  <c r="F13" i="1"/>
  <c r="E22" i="1"/>
  <c r="F15" i="1"/>
  <c r="F17" i="1"/>
  <c r="E16" i="1"/>
  <c r="E19" i="1"/>
  <c r="E12" i="1"/>
  <c r="E15" i="1"/>
  <c r="F12" i="1"/>
  <c r="F14" i="1"/>
</calcChain>
</file>

<file path=xl/sharedStrings.xml><?xml version="1.0" encoding="utf-8"?>
<sst xmlns="http://schemas.openxmlformats.org/spreadsheetml/2006/main" count="43" uniqueCount="43">
  <si>
    <t>S</t>
  </si>
  <si>
    <t>X</t>
  </si>
  <si>
    <t>T</t>
  </si>
  <si>
    <t>Call</t>
  </si>
  <si>
    <t>Put</t>
  </si>
  <si>
    <t>Price</t>
  </si>
  <si>
    <t>Delta</t>
  </si>
  <si>
    <t>Gamma</t>
  </si>
  <si>
    <t>Theta</t>
  </si>
  <si>
    <t>Vega</t>
  </si>
  <si>
    <t>Rho</t>
  </si>
  <si>
    <t>It is used as follows:</t>
  </si>
  <si>
    <t>The "choice" variable is a text variable entered in parentheses.  Here are the possibilities:</t>
  </si>
  <si>
    <t xml:space="preserve">       ecprice =   European call price</t>
  </si>
  <si>
    <t xml:space="preserve">       ecdelta =   European call delta</t>
  </si>
  <si>
    <t xml:space="preserve">       ecgamma =   European call gamma</t>
  </si>
  <si>
    <t xml:space="preserve">       ectheta =   European call theta</t>
  </si>
  <si>
    <t xml:space="preserve">       ecvega  =   European call vega</t>
  </si>
  <si>
    <t xml:space="preserve">       ecrho   =   European call rho</t>
  </si>
  <si>
    <t xml:space="preserve">       epprice =   European put price</t>
  </si>
  <si>
    <t xml:space="preserve">       epdelta =   European put delta</t>
  </si>
  <si>
    <t xml:space="preserve">       epgamma =   European put gamma</t>
  </si>
  <si>
    <t xml:space="preserve">       eptheta =   European put theta</t>
  </si>
  <si>
    <t xml:space="preserve">       epvega  =   European put vega</t>
  </si>
  <si>
    <t xml:space="preserve">       eprho   =   European put rho</t>
  </si>
  <si>
    <t xml:space="preserve">       eod1    =   European option d1</t>
  </si>
  <si>
    <t xml:space="preserve">       eod2    =   European option d2</t>
  </si>
  <si>
    <t xml:space="preserve">       eond1   =   European option Nd1</t>
  </si>
  <si>
    <t xml:space="preserve">       eond2   =   European option Nd2</t>
  </si>
  <si>
    <t>where you enter values, cells, or name ranges for each of the arguments</t>
  </si>
  <si>
    <t>Inputs:</t>
  </si>
  <si>
    <t>Output:</t>
  </si>
  <si>
    <r>
      <t>r</t>
    </r>
    <r>
      <rPr>
        <vertAlign val="subscript"/>
        <sz val="10"/>
        <rFont val="Arial"/>
        <family val="2"/>
      </rPr>
      <t>f</t>
    </r>
  </si>
  <si>
    <r>
      <t>Dividend yield (</t>
    </r>
    <r>
      <rPr>
        <sz val="10"/>
        <rFont val="Symbol"/>
        <family val="1"/>
        <charset val="2"/>
      </rPr>
      <t>d</t>
    </r>
    <r>
      <rPr>
        <vertAlign val="subscript"/>
        <sz val="10"/>
        <rFont val="Times New Roman"/>
        <family val="1"/>
      </rPr>
      <t>c</t>
    </r>
    <r>
      <rPr>
        <sz val="10"/>
        <rFont val="Arial"/>
      </rPr>
      <t>)</t>
    </r>
  </si>
  <si>
    <r>
      <t>Volatility (</t>
    </r>
    <r>
      <rPr>
        <sz val="10"/>
        <rFont val="Symbol"/>
        <family val="1"/>
        <charset val="2"/>
      </rPr>
      <t>s</t>
    </r>
    <r>
      <rPr>
        <sz val="10"/>
        <rFont val="Arial"/>
      </rPr>
      <t>)</t>
    </r>
  </si>
  <si>
    <r>
      <t>d</t>
    </r>
    <r>
      <rPr>
        <vertAlign val="subscript"/>
        <sz val="10"/>
        <rFont val="Arial"/>
        <family val="2"/>
      </rPr>
      <t>1</t>
    </r>
  </si>
  <si>
    <r>
      <t>d</t>
    </r>
    <r>
      <rPr>
        <vertAlign val="subscript"/>
        <sz val="10"/>
        <rFont val="Arial"/>
        <family val="2"/>
      </rPr>
      <t>2</t>
    </r>
  </si>
  <si>
    <t>N(d1)</t>
  </si>
  <si>
    <t>N(d2)</t>
  </si>
  <si>
    <t>=BlackScholesMertonFunction(StockPrice,ExercisePrice,risk-freerate,time,volatility,yield,"choice")</t>
  </si>
  <si>
    <t>This spreadsheet provides a portable Black-Scholes-Merton function called BlackScholesMertonFunction</t>
  </si>
  <si>
    <t>S - PV divs</t>
  </si>
  <si>
    <t>PV of strike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</si>
</sst>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12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Times New Roman"/>
      <family val="1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quotePrefix="1"/>
    <xf numFmtId="0" fontId="2" fillId="2" borderId="0" xfId="0" applyFont="1" applyFill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3" borderId="0" xfId="0" applyFont="1" applyFill="1"/>
    <xf numFmtId="0" fontId="0" fillId="3" borderId="0" xfId="0" applyFill="1"/>
    <xf numFmtId="0" fontId="0" fillId="3" borderId="4" xfId="0" applyFill="1" applyBorder="1"/>
    <xf numFmtId="0" fontId="3" fillId="3" borderId="0" xfId="0" applyFont="1" applyFill="1"/>
    <xf numFmtId="0" fontId="2" fillId="3" borderId="0" xfId="0" applyFont="1" applyFill="1" applyAlignment="1">
      <alignment horizontal="right"/>
    </xf>
    <xf numFmtId="0" fontId="0" fillId="3" borderId="1" xfId="0" applyFill="1" applyBorder="1"/>
    <xf numFmtId="0" fontId="4" fillId="3" borderId="5" xfId="0" applyFont="1" applyFill="1" applyBorder="1" applyProtection="1">
      <protection locked="0"/>
    </xf>
    <xf numFmtId="164" fontId="0" fillId="3" borderId="6" xfId="0" applyNumberFormat="1" applyFill="1" applyBorder="1"/>
    <xf numFmtId="10" fontId="4" fillId="3" borderId="7" xfId="1" applyNumberFormat="1" applyFont="1" applyFill="1" applyBorder="1" applyProtection="1">
      <protection locked="0"/>
    </xf>
    <xf numFmtId="164" fontId="4" fillId="3" borderId="5" xfId="0" applyNumberFormat="1" applyFont="1" applyFill="1" applyBorder="1" applyProtection="1">
      <protection locked="0"/>
    </xf>
    <xf numFmtId="164" fontId="0" fillId="3" borderId="0" xfId="0" applyNumberFormat="1" applyFill="1"/>
    <xf numFmtId="0" fontId="8" fillId="3" borderId="0" xfId="0" applyFont="1" applyFill="1"/>
    <xf numFmtId="164" fontId="0" fillId="3" borderId="0" xfId="0" applyNumberFormat="1" applyFill="1" applyBorder="1"/>
    <xf numFmtId="0" fontId="0" fillId="3" borderId="2" xfId="0" applyFill="1" applyBorder="1"/>
    <xf numFmtId="0" fontId="0" fillId="3" borderId="3" xfId="0" applyFill="1" applyBorder="1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238125</xdr:colOff>
      <xdr:row>2</xdr:row>
      <xdr:rowOff>19050</xdr:rowOff>
    </xdr:from>
    <xdr:to>
      <xdr:col>8</xdr:col>
      <xdr:colOff>276225</xdr:colOff>
      <xdr:row>6</xdr:row>
      <xdr:rowOff>123825</xdr:rowOff>
    </xdr:to>
    <xdr:sp macro="" textlink="">
      <xdr:nvSpPr>
        <xdr:cNvPr id="1025" name="Text 8"/>
        <xdr:cNvSpPr>
          <a:spLocks noChangeArrowheads="1"/>
        </xdr:cNvSpPr>
      </xdr:nvSpPr>
      <xdr:spPr bwMode="auto">
        <a:xfrm>
          <a:off x="1362075" y="342900"/>
          <a:ext cx="4305300" cy="752475"/>
        </a:xfrm>
        <a:prstGeom prst="roundRect">
          <a:avLst>
            <a:gd name="adj" fmla="val 16667"/>
          </a:avLst>
        </a:prstGeom>
        <a:solidFill>
          <a:srgbClr val="FFFF00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600" b="1" i="0" u="none" strike="noStrike" baseline="0">
              <a:solidFill>
                <a:srgbClr val="000000"/>
              </a:solidFill>
              <a:latin typeface="Arial"/>
              <a:cs typeface="Arial"/>
            </a:rPr>
            <a:t>Black-Scholes-Merton Function</a:t>
          </a:r>
        </a:p>
        <a:p>
          <a:pPr algn="ctr" rtl="0">
            <a:defRPr sz="1000"/>
          </a:pPr>
          <a:r>
            <a:rPr lang="en-US" sz="1600" b="1" i="0" u="none" strike="noStrike" baseline="0">
              <a:solidFill>
                <a:srgbClr val="000000"/>
              </a:solidFill>
              <a:latin typeface="Arial"/>
              <a:cs typeface="Arial"/>
            </a:rPr>
            <a:t>10e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542925</xdr:colOff>
          <xdr:row>7</xdr:row>
          <xdr:rowOff>66675</xdr:rowOff>
        </xdr:from>
        <xdr:to>
          <xdr:col>16</xdr:col>
          <xdr:colOff>542925</xdr:colOff>
          <xdr:row>18</xdr:row>
          <xdr:rowOff>28575</xdr:rowOff>
        </xdr:to>
        <xdr:sp macro="" textlink="">
          <xdr:nvSpPr>
            <xdr:cNvPr id="1029" name="Object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66676</xdr:rowOff>
    </xdr:from>
    <xdr:to>
      <xdr:col>9</xdr:col>
      <xdr:colOff>219075</xdr:colOff>
      <xdr:row>40</xdr:row>
      <xdr:rowOff>76201</xdr:rowOff>
    </xdr:to>
    <xdr:sp macro="" textlink="">
      <xdr:nvSpPr>
        <xdr:cNvPr id="2049" name="Text 7"/>
        <xdr:cNvSpPr>
          <a:spLocks noChangeArrowheads="1"/>
        </xdr:cNvSpPr>
      </xdr:nvSpPr>
      <xdr:spPr bwMode="auto">
        <a:xfrm>
          <a:off x="695325" y="228601"/>
          <a:ext cx="5010150" cy="6324600"/>
        </a:xfrm>
        <a:prstGeom prst="roundRect">
          <a:avLst>
            <a:gd name="adj" fmla="val 16667"/>
          </a:avLst>
        </a:prstGeom>
        <a:solidFill>
          <a:srgbClr val="FFFF00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0" anchor="t" upright="1"/>
        <a:lstStyle/>
        <a:p>
          <a:pPr algn="just" rtl="0">
            <a:lnSpc>
              <a:spcPts val="800"/>
            </a:lnSpc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Instructions:</a:t>
          </a:r>
          <a:endParaRPr lang="en-US" sz="1000" b="0" i="1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just" rtl="0">
            <a:lnSpc>
              <a:spcPts val="800"/>
            </a:lnSpc>
            <a:defRPr sz="1000"/>
          </a:pPr>
          <a:endParaRPr lang="en-US" sz="1000" b="0" i="1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just" rtl="0">
            <a:lnSpc>
              <a:spcPts val="8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This spreadsheet provides a portable Black-Scholes function-Merton called BlackScholesMertonFunction.  It is used as follows:</a:t>
          </a:r>
        </a:p>
        <a:p>
          <a:pPr algn="just" rtl="0">
            <a:lnSpc>
              <a:spcPts val="8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=BlackScholesMertonFunction(StockPrice,ExercisePrice,risk-freerate,time, volatility,yield,"choice") where you enter values, cells, or name ranges for each of the arguments.</a:t>
          </a:r>
        </a:p>
        <a:p>
          <a:pPr algn="just" rtl="0">
            <a:lnSpc>
              <a:spcPts val="8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just" rtl="0">
            <a:lnSpc>
              <a:spcPts val="8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The "choice" variable is a text variable entered in parentheses as one of the following:</a:t>
          </a:r>
        </a:p>
        <a:p>
          <a:pPr algn="just" rtl="0">
            <a:lnSpc>
              <a:spcPts val="8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just" rtl="0">
            <a:lnSpc>
              <a:spcPts val="8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ecprice = European call price</a:t>
          </a:r>
        </a:p>
        <a:p>
          <a:pPr algn="just" rtl="0">
            <a:lnSpc>
              <a:spcPts val="8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ecdelta = European call delta</a:t>
          </a:r>
        </a:p>
        <a:p>
          <a:pPr algn="just" rtl="0">
            <a:lnSpc>
              <a:spcPts val="8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ecgamma = European call gamma</a:t>
          </a:r>
        </a:p>
        <a:p>
          <a:pPr algn="just" rtl="0">
            <a:lnSpc>
              <a:spcPts val="8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ectheta = European call theta</a:t>
          </a:r>
        </a:p>
        <a:p>
          <a:pPr algn="just" rtl="0">
            <a:lnSpc>
              <a:spcPts val="8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ecvega = European call vega</a:t>
          </a:r>
        </a:p>
        <a:p>
          <a:pPr algn="just" rtl="0">
            <a:lnSpc>
              <a:spcPts val="8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ecrho = European call rho</a:t>
          </a:r>
        </a:p>
        <a:p>
          <a:pPr algn="just" rtl="0">
            <a:lnSpc>
              <a:spcPts val="8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just" rtl="0">
            <a:lnSpc>
              <a:spcPts val="8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epprice = European put price</a:t>
          </a:r>
        </a:p>
        <a:p>
          <a:pPr algn="just" rtl="0">
            <a:lnSpc>
              <a:spcPts val="8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epdelta = European put delta</a:t>
          </a:r>
        </a:p>
        <a:p>
          <a:pPr algn="just" rtl="0">
            <a:lnSpc>
              <a:spcPts val="8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epgamma = European put gamma</a:t>
          </a:r>
        </a:p>
        <a:p>
          <a:pPr algn="just" rtl="0">
            <a:lnSpc>
              <a:spcPts val="8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eptheta = European put theta</a:t>
          </a:r>
        </a:p>
        <a:p>
          <a:pPr algn="just" rtl="0">
            <a:lnSpc>
              <a:spcPts val="8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epvega = European put vega</a:t>
          </a:r>
        </a:p>
        <a:p>
          <a:pPr algn="just" rtl="0">
            <a:lnSpc>
              <a:spcPts val="8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eprho = European put rho</a:t>
          </a:r>
        </a:p>
        <a:p>
          <a:pPr algn="just" rtl="0">
            <a:lnSpc>
              <a:spcPts val="8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just" rtl="0">
            <a:lnSpc>
              <a:spcPts val="8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eod1 = European option d1</a:t>
          </a:r>
        </a:p>
        <a:p>
          <a:pPr algn="just" rtl="0">
            <a:lnSpc>
              <a:spcPts val="9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eod2 = European option d2</a:t>
          </a:r>
        </a:p>
        <a:p>
          <a:pPr algn="just" rtl="0">
            <a:lnSpc>
              <a:spcPts val="8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eond1 = European option nd1</a:t>
          </a:r>
        </a:p>
        <a:p>
          <a:pPr algn="just" rtl="0">
            <a:lnSpc>
              <a:spcPts val="9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eond2 = European option nd2</a:t>
          </a:r>
        </a:p>
        <a:p>
          <a:pPr algn="just" rtl="0">
            <a:lnSpc>
              <a:spcPts val="8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just" rtl="0">
            <a:lnSpc>
              <a:spcPts val="9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Instructions for how to use the function in any spreadsheet:</a:t>
          </a:r>
        </a:p>
        <a:p>
          <a:pPr algn="just" rtl="0">
            <a:lnSpc>
              <a:spcPts val="8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just" rtl="0">
            <a:lnSpc>
              <a:spcPts val="9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Let us say you have a spreadsheet called optionpricing.xls</a:t>
          </a:r>
        </a:p>
        <a:p>
          <a:pPr algn="just" rtl="0">
            <a:lnSpc>
              <a:spcPts val="8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(1)  Open BSMFunction1.xls and optionpricing.xls</a:t>
          </a:r>
        </a:p>
        <a:p>
          <a:pPr algn="just" rtl="0">
            <a:lnSpc>
              <a:spcPts val="9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(2)  In optionpricing.xls, choose Tools Macro VisualBasicEditor*</a:t>
          </a:r>
        </a:p>
        <a:p>
          <a:pPr algn="just" rtl="0">
            <a:lnSpc>
              <a:spcPts val="8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(3)  Open the project window by choosing ViewProjectExplorer</a:t>
          </a:r>
        </a:p>
        <a:p>
          <a:pPr algn="just" rtl="0">
            <a:lnSpc>
              <a:spcPts val="9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(4)  You will see two projects, which are the two spreadsheets you have open</a:t>
          </a:r>
        </a:p>
        <a:p>
          <a:pPr algn="just" rtl="0">
            <a:lnSpc>
              <a:spcPts val="8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(5)  Drag the item called Procedures from the BSMFunction1 project to the option pricing project</a:t>
          </a:r>
        </a:p>
        <a:p>
          <a:pPr algn="just" rtl="0">
            <a:lnSpc>
              <a:spcPts val="9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(6)  The BlackScholesMerton function is now available to use in optionpricing.xls</a:t>
          </a:r>
        </a:p>
        <a:p>
          <a:pPr algn="just" rtl="0">
            <a:lnSpc>
              <a:spcPts val="8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*Note:  In Excel 2007 and later, Visual Basic code is accessed through the Developer tab, which you will have to activate.  Do this through your Excel Options.</a:t>
          </a:r>
        </a:p>
        <a:p>
          <a:pPr algn="just" rtl="0">
            <a:lnSpc>
              <a:spcPts val="9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just" rtl="0">
            <a:lnSpc>
              <a:spcPts val="9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just" rtl="0">
            <a:lnSpc>
              <a:spcPts val="10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just" rtl="0">
            <a:lnSpc>
              <a:spcPts val="9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just" rtl="0">
            <a:lnSpc>
              <a:spcPts val="9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just" rtl="0">
            <a:lnSpc>
              <a:spcPts val="9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just" rtl="0">
            <a:lnSpc>
              <a:spcPts val="9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just" rtl="0">
            <a:lnSpc>
              <a:spcPts val="9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just" rtl="0">
            <a:lnSpc>
              <a:spcPts val="9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just" rtl="0">
            <a:lnSpc>
              <a:spcPts val="9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just" rtl="0">
            <a:lnSpc>
              <a:spcPts val="8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1</xdr:row>
      <xdr:rowOff>152400</xdr:rowOff>
    </xdr:from>
    <xdr:to>
      <xdr:col>8</xdr:col>
      <xdr:colOff>95250</xdr:colOff>
      <xdr:row>12</xdr:row>
      <xdr:rowOff>0</xdr:rowOff>
    </xdr:to>
    <xdr:sp macro="" textlink="">
      <xdr:nvSpPr>
        <xdr:cNvPr id="3073" name="Text 16"/>
        <xdr:cNvSpPr>
          <a:spLocks noChangeArrowheads="1"/>
        </xdr:cNvSpPr>
      </xdr:nvSpPr>
      <xdr:spPr bwMode="auto">
        <a:xfrm>
          <a:off x="238125" y="314325"/>
          <a:ext cx="4733925" cy="1628775"/>
        </a:xfrm>
        <a:prstGeom prst="roundRect">
          <a:avLst>
            <a:gd name="adj" fmla="val 16667"/>
          </a:avLst>
        </a:prstGeom>
        <a:solidFill>
          <a:srgbClr val="FFFF00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Written by Don M. Chance and Robert E. Brooks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For use with </a:t>
          </a:r>
          <a:r>
            <a:rPr lang="en-US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An Introduction to Derivatives and Risk Management, 10</a:t>
          </a:r>
          <a:r>
            <a:rPr lang="en-US" sz="1000" b="0" i="1" u="none" strike="noStrike" baseline="30000">
              <a:solidFill>
                <a:srgbClr val="000000"/>
              </a:solidFill>
              <a:latin typeface="Arial"/>
              <a:cs typeface="Arial"/>
            </a:rPr>
            <a:t>th </a:t>
          </a:r>
          <a:r>
            <a:rPr lang="en-US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ed.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(Mason, Ohio:  Cengage, 2015)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Date:  7/09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Last updated:  3/18/14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+mn-ea"/>
              <a:cs typeface="Arial"/>
            </a:rPr>
            <a:t>© 2015 Cengage Learning. All Rights Reserved. May not be scanned, copied or duplicated, or posted to a publicly accessible website, in whole or in part.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9"/>
  <sheetViews>
    <sheetView tabSelected="1" workbookViewId="0">
      <selection activeCell="J41" sqref="J41"/>
    </sheetView>
  </sheetViews>
  <sheetFormatPr defaultRowHeight="12.75" x14ac:dyDescent="0.2"/>
  <cols>
    <col min="1" max="1" width="16.85546875" customWidth="1"/>
    <col min="4" max="4" width="13.7109375" customWidth="1"/>
  </cols>
  <sheetData>
    <row r="1" spans="1:10" x14ac:dyDescent="0.2">
      <c r="A1" s="2"/>
      <c r="B1" s="2"/>
      <c r="C1" s="2"/>
      <c r="D1" s="2"/>
      <c r="E1" s="2"/>
      <c r="F1" s="2"/>
      <c r="G1" s="2"/>
      <c r="H1" s="2"/>
      <c r="I1" s="2"/>
      <c r="J1" s="3"/>
    </row>
    <row r="2" spans="1:10" x14ac:dyDescent="0.2">
      <c r="A2" s="2"/>
      <c r="B2" s="2"/>
      <c r="C2" s="2"/>
      <c r="D2" s="2"/>
      <c r="E2" s="2"/>
      <c r="F2" s="2"/>
      <c r="G2" s="2"/>
      <c r="H2" s="2"/>
      <c r="I2" s="2"/>
      <c r="J2" s="3"/>
    </row>
    <row r="3" spans="1:10" x14ac:dyDescent="0.2">
      <c r="A3" s="2"/>
      <c r="B3" s="2"/>
      <c r="C3" s="2"/>
      <c r="D3" s="2"/>
      <c r="E3" s="2"/>
      <c r="F3" s="2"/>
      <c r="G3" s="2"/>
      <c r="H3" s="2"/>
      <c r="I3" s="2"/>
      <c r="J3" s="3"/>
    </row>
    <row r="4" spans="1:10" x14ac:dyDescent="0.2">
      <c r="A4" s="2"/>
      <c r="B4" s="2"/>
      <c r="C4" s="2"/>
      <c r="D4" s="2"/>
      <c r="E4" s="2"/>
      <c r="F4" s="2"/>
      <c r="G4" s="2"/>
      <c r="H4" s="2"/>
      <c r="I4" s="2"/>
      <c r="J4" s="3"/>
    </row>
    <row r="5" spans="1:10" x14ac:dyDescent="0.2">
      <c r="A5" s="2"/>
      <c r="B5" s="2"/>
      <c r="C5" s="2"/>
      <c r="D5" s="2"/>
      <c r="E5" s="2"/>
      <c r="F5" s="2"/>
      <c r="G5" s="2"/>
      <c r="H5" s="2"/>
      <c r="I5" s="2"/>
      <c r="J5" s="3"/>
    </row>
    <row r="6" spans="1:10" x14ac:dyDescent="0.2">
      <c r="A6" s="2"/>
      <c r="B6" s="2"/>
      <c r="C6" s="2"/>
      <c r="D6" s="2"/>
      <c r="E6" s="2"/>
      <c r="F6" s="2"/>
      <c r="G6" s="2"/>
      <c r="H6" s="2"/>
      <c r="I6" s="2"/>
      <c r="J6" s="3"/>
    </row>
    <row r="7" spans="1:10" x14ac:dyDescent="0.2">
      <c r="A7" s="2"/>
      <c r="B7" s="2"/>
      <c r="C7" s="2"/>
      <c r="D7" s="2"/>
      <c r="E7" s="2"/>
      <c r="F7" s="2"/>
      <c r="G7" s="2"/>
      <c r="H7" s="2"/>
      <c r="I7" s="2"/>
      <c r="J7" s="3"/>
    </row>
    <row r="8" spans="1:10" x14ac:dyDescent="0.2">
      <c r="A8" s="2"/>
      <c r="B8" s="2"/>
      <c r="C8" s="2"/>
      <c r="D8" s="2"/>
      <c r="E8" s="2"/>
      <c r="F8" s="2"/>
      <c r="G8" s="2"/>
      <c r="H8" s="2"/>
      <c r="I8" s="2"/>
      <c r="J8" s="3"/>
    </row>
    <row r="9" spans="1:10" ht="13.5" thickBot="1" x14ac:dyDescent="0.25">
      <c r="A9" s="4"/>
      <c r="B9" s="4"/>
      <c r="C9" s="4"/>
      <c r="D9" s="4"/>
      <c r="E9" s="4"/>
      <c r="F9" s="4"/>
      <c r="G9" s="4"/>
      <c r="H9" s="4"/>
      <c r="I9" s="4"/>
      <c r="J9" s="5"/>
    </row>
    <row r="10" spans="1:10" ht="13.5" thickTop="1" x14ac:dyDescent="0.2">
      <c r="A10" s="6"/>
      <c r="B10" s="7"/>
      <c r="C10" s="7"/>
      <c r="D10" s="7"/>
      <c r="E10" s="7"/>
      <c r="F10" s="7"/>
      <c r="G10" s="7"/>
      <c r="H10" s="7"/>
      <c r="I10" s="7"/>
      <c r="J10" s="8"/>
    </row>
    <row r="11" spans="1:10" ht="16.5" thickBot="1" x14ac:dyDescent="0.3">
      <c r="A11" s="9" t="s">
        <v>30</v>
      </c>
      <c r="B11" s="7"/>
      <c r="C11" s="7"/>
      <c r="D11" s="9" t="s">
        <v>31</v>
      </c>
      <c r="E11" s="10" t="s">
        <v>3</v>
      </c>
      <c r="F11" s="10" t="s">
        <v>4</v>
      </c>
      <c r="G11" s="7"/>
      <c r="H11" s="7"/>
      <c r="I11" s="7"/>
      <c r="J11" s="11"/>
    </row>
    <row r="12" spans="1:10" ht="14.25" thickTop="1" thickBot="1" x14ac:dyDescent="0.25">
      <c r="A12" s="7" t="s">
        <v>0</v>
      </c>
      <c r="B12" s="12">
        <v>125.94</v>
      </c>
      <c r="C12" s="7"/>
      <c r="D12" s="7" t="s">
        <v>5</v>
      </c>
      <c r="E12" s="13">
        <f>BlackScholesMertonFunction($B$12,$B$13,$B$14,$B$15,$B$16,$B$17,"ecprice")</f>
        <v>13.552645040721075</v>
      </c>
      <c r="F12" s="13">
        <f>BlackScholesMertonFunction($B$12,$B$13,$B$14,$B$15,$B$16,$B$17,"epprice")</f>
        <v>12.079197513507978</v>
      </c>
      <c r="G12" s="7"/>
      <c r="H12" s="7"/>
      <c r="I12" s="7"/>
      <c r="J12" s="11"/>
    </row>
    <row r="13" spans="1:10" ht="13.5" thickTop="1" x14ac:dyDescent="0.2">
      <c r="A13" s="7" t="s">
        <v>1</v>
      </c>
      <c r="B13" s="12">
        <v>125</v>
      </c>
      <c r="C13" s="7"/>
      <c r="D13" s="7" t="s">
        <v>6</v>
      </c>
      <c r="E13" s="13">
        <f>BlackScholesMertonFunction($B$12,$B$13,$B$14,$B$15,$B$16,$B$17,"ecdelta")</f>
        <v>0.56918449565010798</v>
      </c>
      <c r="F13" s="13">
        <f>BlackScholesMertonFunction($B$12,$B$13,$B$14,$B$15,$B$16,$B$17,"epdelta")</f>
        <v>-0.43081550434989202</v>
      </c>
      <c r="G13" s="7"/>
      <c r="H13" s="7"/>
      <c r="I13" s="7"/>
      <c r="J13" s="11"/>
    </row>
    <row r="14" spans="1:10" ht="16.5" thickBot="1" x14ac:dyDescent="0.35">
      <c r="A14" s="7" t="s">
        <v>32</v>
      </c>
      <c r="B14" s="14">
        <v>4.4600000000000001E-2</v>
      </c>
      <c r="C14" s="7"/>
      <c r="D14" s="7" t="s">
        <v>7</v>
      </c>
      <c r="E14" s="13">
        <f>BlackScholesMertonFunction($B$12,$B$13,$B$14,$B$15,$B$16,$B$17,"ecgamma")</f>
        <v>1.2139024308185311E-2</v>
      </c>
      <c r="F14" s="13">
        <f>BlackScholesMertonFunction($B$12,$B$13,$B$14,$B$15,$B$16,$B$17,"epgamma")</f>
        <v>1.2139024308185311E-2</v>
      </c>
      <c r="G14" s="7"/>
      <c r="H14" s="7"/>
      <c r="I14" s="7"/>
      <c r="J14" s="11"/>
    </row>
    <row r="15" spans="1:10" ht="13.5" thickTop="1" x14ac:dyDescent="0.2">
      <c r="A15" s="7" t="s">
        <v>2</v>
      </c>
      <c r="B15" s="15">
        <f>35/365</f>
        <v>9.5890410958904104E-2</v>
      </c>
      <c r="C15" s="7"/>
      <c r="D15" s="7" t="s">
        <v>8</v>
      </c>
      <c r="E15" s="13">
        <f>BlackScholesMertonFunction($B$12,$B$13,$B$14,$B$15,$B$16,$B$17,"ectheta")</f>
        <v>-68.911523268411187</v>
      </c>
      <c r="F15" s="13">
        <f>BlackScholesMertonFunction($B$12,$B$13,$B$14,$B$15,$B$16,$B$17,"eptheta")</f>
        <v>-63.360315028124894</v>
      </c>
      <c r="G15" s="7"/>
      <c r="H15" s="7"/>
      <c r="I15" s="7"/>
      <c r="J15" s="11"/>
    </row>
    <row r="16" spans="1:10" x14ac:dyDescent="0.2">
      <c r="A16" s="7" t="s">
        <v>34</v>
      </c>
      <c r="B16" s="14">
        <v>0.83</v>
      </c>
      <c r="C16" s="7"/>
      <c r="D16" s="7" t="s">
        <v>9</v>
      </c>
      <c r="E16" s="13">
        <f>BlackScholesMertonFunction($B$12,$B$13,$B$14,$B$15,$B$16,$B$17,"ecvega")</f>
        <v>15.323727885204706</v>
      </c>
      <c r="F16" s="13">
        <f>BlackScholesMertonFunction($B$12,$B$13,$B$14,$B$15,$B$16,$B$17,"epvega")</f>
        <v>15.323727885204706</v>
      </c>
      <c r="G16" s="7"/>
      <c r="H16" s="7"/>
      <c r="I16" s="7"/>
      <c r="J16" s="11"/>
    </row>
    <row r="17" spans="1:10" ht="14.25" x14ac:dyDescent="0.25">
      <c r="A17" s="7" t="s">
        <v>33</v>
      </c>
      <c r="B17" s="14">
        <v>0</v>
      </c>
      <c r="C17" s="7"/>
      <c r="D17" s="7" t="s">
        <v>10</v>
      </c>
      <c r="E17" s="13">
        <f>BlackScholesMertonFunction($B$12,$B$13,$B$14,$B$15,$B$16,$B$17,"ecrho")</f>
        <v>5.5741527724681452</v>
      </c>
      <c r="F17" s="13">
        <f>BlackScholesMertonFunction($B$12,$B$13,$B$14,$B$15,$B$16,$B$17,"eprho")</f>
        <v>-6.3609960947853921</v>
      </c>
      <c r="G17" s="7"/>
      <c r="H17" s="7"/>
      <c r="I17" s="7"/>
      <c r="J17" s="11"/>
    </row>
    <row r="18" spans="1:10" x14ac:dyDescent="0.2">
      <c r="A18" s="7"/>
      <c r="B18" s="7"/>
      <c r="C18" s="7"/>
      <c r="D18" s="7"/>
      <c r="E18" s="16"/>
      <c r="F18" s="16"/>
      <c r="G18" s="7"/>
      <c r="H18" s="7"/>
      <c r="I18" s="7"/>
      <c r="J18" s="11"/>
    </row>
    <row r="19" spans="1:10" ht="15.75" x14ac:dyDescent="0.3">
      <c r="A19" s="7"/>
      <c r="B19" s="7"/>
      <c r="C19" s="7"/>
      <c r="D19" s="7" t="s">
        <v>35</v>
      </c>
      <c r="E19" s="13">
        <f>BlackScholesMertonFunction($B$12,$B$13,$B$14,$B$15,$B$16,$B$17,"eod1")</f>
        <v>0.17429833372061118</v>
      </c>
      <c r="F19" s="7"/>
      <c r="G19" s="7"/>
      <c r="H19" s="7"/>
      <c r="I19" s="7"/>
      <c r="J19" s="11"/>
    </row>
    <row r="20" spans="1:10" ht="15.75" x14ac:dyDescent="0.3">
      <c r="A20" s="7"/>
      <c r="B20" s="7"/>
      <c r="C20" s="7"/>
      <c r="D20" s="7" t="s">
        <v>36</v>
      </c>
      <c r="E20" s="13">
        <f>BlackScholesMertonFunction($B$12,$B$13,$B$14,$B$15,$B$16,$B$17,"eod2")</f>
        <v>-8.272093425280172E-2</v>
      </c>
      <c r="F20" s="7"/>
      <c r="G20" s="7"/>
      <c r="H20" s="7"/>
      <c r="I20" s="7"/>
      <c r="J20" s="11"/>
    </row>
    <row r="21" spans="1:10" x14ac:dyDescent="0.2">
      <c r="A21" s="7"/>
      <c r="B21" s="7"/>
      <c r="C21" s="7"/>
      <c r="D21" s="7" t="s">
        <v>37</v>
      </c>
      <c r="E21" s="13">
        <f>BlackScholesMertonFunction($B$12,$B$13,$B$14,$B$15,$B$16,$B$17,"eond1")</f>
        <v>0.56918449565010798</v>
      </c>
      <c r="F21" s="7"/>
      <c r="G21" s="7"/>
      <c r="H21" s="7"/>
      <c r="I21" s="7"/>
      <c r="J21" s="11"/>
    </row>
    <row r="22" spans="1:10" x14ac:dyDescent="0.2">
      <c r="A22" s="7"/>
      <c r="B22" s="7"/>
      <c r="C22" s="7"/>
      <c r="D22" s="7" t="s">
        <v>38</v>
      </c>
      <c r="E22" s="13">
        <f>BlackScholesMertonFunction($B$12,$B$13,$B$14,$B$15,$B$16,$B$17,"eond2")</f>
        <v>0.4670367193962654</v>
      </c>
      <c r="F22" s="7"/>
      <c r="G22" s="7"/>
      <c r="H22" s="7"/>
      <c r="I22" s="7"/>
      <c r="J22" s="11"/>
    </row>
    <row r="23" spans="1:10" x14ac:dyDescent="0.2">
      <c r="A23" s="7"/>
      <c r="B23" s="7"/>
      <c r="C23" s="7"/>
      <c r="D23" s="17" t="s">
        <v>41</v>
      </c>
      <c r="E23" s="13">
        <f>B12*EXP(-B17*B15)</f>
        <v>125.94</v>
      </c>
      <c r="F23" s="7"/>
      <c r="G23" s="7"/>
      <c r="H23" s="7"/>
      <c r="I23" s="7"/>
      <c r="J23" s="11"/>
    </row>
    <row r="24" spans="1:10" x14ac:dyDescent="0.2">
      <c r="A24" s="7"/>
      <c r="B24" s="7"/>
      <c r="C24" s="7"/>
      <c r="D24" s="17" t="s">
        <v>42</v>
      </c>
      <c r="E24" s="13">
        <f>B13*EXP(-B14*B15)</f>
        <v>124.46655247278692</v>
      </c>
      <c r="F24" s="7"/>
      <c r="G24" s="7"/>
      <c r="H24" s="7"/>
      <c r="I24" s="7"/>
      <c r="J24" s="11"/>
    </row>
    <row r="25" spans="1:10" x14ac:dyDescent="0.2">
      <c r="A25" s="7"/>
      <c r="B25" s="7"/>
      <c r="C25" s="7"/>
      <c r="D25" s="7"/>
      <c r="E25" s="18"/>
      <c r="F25" s="7"/>
      <c r="G25" s="7"/>
      <c r="H25" s="7"/>
      <c r="I25" s="7"/>
      <c r="J25" s="11"/>
    </row>
    <row r="26" spans="1:10" ht="13.5" thickBot="1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20"/>
    </row>
    <row r="27" spans="1:10" ht="13.5" thickTop="1" x14ac:dyDescent="0.2">
      <c r="A27" t="s">
        <v>40</v>
      </c>
    </row>
    <row r="28" spans="1:10" x14ac:dyDescent="0.2">
      <c r="A28" t="s">
        <v>11</v>
      </c>
    </row>
    <row r="29" spans="1:10" x14ac:dyDescent="0.2">
      <c r="A29" s="1" t="s">
        <v>39</v>
      </c>
    </row>
    <row r="30" spans="1:10" x14ac:dyDescent="0.2">
      <c r="A30" t="s">
        <v>29</v>
      </c>
    </row>
    <row r="32" spans="1:10" x14ac:dyDescent="0.2">
      <c r="A32" t="s">
        <v>12</v>
      </c>
    </row>
    <row r="34" spans="1:1" x14ac:dyDescent="0.2">
      <c r="A34" t="s">
        <v>13</v>
      </c>
    </row>
    <row r="35" spans="1:1" x14ac:dyDescent="0.2">
      <c r="A35" t="s">
        <v>14</v>
      </c>
    </row>
    <row r="36" spans="1:1" x14ac:dyDescent="0.2">
      <c r="A36" t="s">
        <v>15</v>
      </c>
    </row>
    <row r="37" spans="1:1" x14ac:dyDescent="0.2">
      <c r="A37" t="s">
        <v>16</v>
      </c>
    </row>
    <row r="38" spans="1:1" x14ac:dyDescent="0.2">
      <c r="A38" t="s">
        <v>17</v>
      </c>
    </row>
    <row r="39" spans="1:1" x14ac:dyDescent="0.2">
      <c r="A39" t="s">
        <v>18</v>
      </c>
    </row>
    <row r="40" spans="1:1" x14ac:dyDescent="0.2">
      <c r="A40" t="s">
        <v>19</v>
      </c>
    </row>
    <row r="41" spans="1:1" x14ac:dyDescent="0.2">
      <c r="A41" t="s">
        <v>20</v>
      </c>
    </row>
    <row r="42" spans="1:1" x14ac:dyDescent="0.2">
      <c r="A42" t="s">
        <v>21</v>
      </c>
    </row>
    <row r="43" spans="1:1" x14ac:dyDescent="0.2">
      <c r="A43" t="s">
        <v>22</v>
      </c>
    </row>
    <row r="44" spans="1:1" x14ac:dyDescent="0.2">
      <c r="A44" t="s">
        <v>23</v>
      </c>
    </row>
    <row r="45" spans="1:1" x14ac:dyDescent="0.2">
      <c r="A45" t="s">
        <v>24</v>
      </c>
    </row>
    <row r="46" spans="1:1" x14ac:dyDescent="0.2">
      <c r="A46" t="s">
        <v>25</v>
      </c>
    </row>
    <row r="47" spans="1:1" x14ac:dyDescent="0.2">
      <c r="A47" t="s">
        <v>26</v>
      </c>
    </row>
    <row r="48" spans="1:1" x14ac:dyDescent="0.2">
      <c r="A48" t="s">
        <v>27</v>
      </c>
    </row>
    <row r="49" spans="1:1" x14ac:dyDescent="0.2">
      <c r="A49" t="s">
        <v>28</v>
      </c>
    </row>
  </sheetData>
  <phoneticPr fontId="0" type="noConversion"/>
  <pageMargins left="0.75" right="0.75" top="1" bottom="1" header="0.5" footer="0.5"/>
  <pageSetup orientation="portrait" horizontalDpi="4294967292" r:id="rId1"/>
  <headerFooter alignWithMargins="0">
    <oddFooter>&amp;F</oddFooter>
  </headerFooter>
  <ignoredErrors>
    <ignoredError sqref="B15" unlockedFormula="1"/>
  </ignoredErrors>
  <drawing r:id="rId2"/>
  <legacyDrawing r:id="rId3"/>
  <oleObjects>
    <mc:AlternateContent xmlns:mc="http://schemas.openxmlformats.org/markup-compatibility/2006">
      <mc:Choice Requires="x14">
        <oleObject progId="Equation.DSMT4" shapeId="1029" r:id="rId4">
          <objectPr defaultSize="0" autoPict="0" r:id="rId5">
            <anchor moveWithCells="1" sizeWithCells="1">
              <from>
                <xdr:col>11</xdr:col>
                <xdr:colOff>542925</xdr:colOff>
                <xdr:row>7</xdr:row>
                <xdr:rowOff>66675</xdr:rowOff>
              </from>
              <to>
                <xdr:col>16</xdr:col>
                <xdr:colOff>542925</xdr:colOff>
                <xdr:row>18</xdr:row>
                <xdr:rowOff>28575</xdr:rowOff>
              </to>
            </anchor>
          </objectPr>
        </oleObject>
      </mc:Choice>
      <mc:Fallback>
        <oleObject progId="Equation.DSMT4" shapeId="102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45"/>
  <sheetViews>
    <sheetView workbookViewId="0">
      <selection activeCell="T13" sqref="T13"/>
    </sheetView>
  </sheetViews>
  <sheetFormatPr defaultRowHeight="12.75" x14ac:dyDescent="0.2"/>
  <sheetData>
    <row r="1" spans="1:10" x14ac:dyDescent="0.2">
      <c r="A1" s="21"/>
      <c r="B1" s="21"/>
      <c r="C1" s="21"/>
      <c r="D1" s="21"/>
      <c r="E1" s="21"/>
      <c r="F1" s="21"/>
      <c r="G1" s="21"/>
      <c r="H1" s="21"/>
      <c r="I1" s="21"/>
      <c r="J1" s="22"/>
    </row>
    <row r="2" spans="1:10" x14ac:dyDescent="0.2">
      <c r="A2" s="21"/>
      <c r="B2" s="21"/>
      <c r="C2" s="21"/>
      <c r="D2" s="21"/>
      <c r="E2" s="21"/>
      <c r="F2" s="21"/>
      <c r="G2" s="21"/>
      <c r="H2" s="21"/>
      <c r="I2" s="21"/>
      <c r="J2" s="22"/>
    </row>
    <row r="3" spans="1:10" x14ac:dyDescent="0.2">
      <c r="A3" s="21"/>
      <c r="B3" s="21"/>
      <c r="C3" s="21"/>
      <c r="D3" s="21"/>
      <c r="E3" s="21"/>
      <c r="F3" s="21"/>
      <c r="G3" s="21"/>
      <c r="H3" s="21"/>
      <c r="I3" s="21"/>
      <c r="J3" s="22"/>
    </row>
    <row r="4" spans="1:10" x14ac:dyDescent="0.2">
      <c r="A4" s="21"/>
      <c r="B4" s="21"/>
      <c r="C4" s="21"/>
      <c r="D4" s="21"/>
      <c r="E4" s="21"/>
      <c r="F4" s="21"/>
      <c r="G4" s="21"/>
      <c r="H4" s="21"/>
      <c r="I4" s="21"/>
      <c r="J4" s="22"/>
    </row>
    <row r="5" spans="1:10" x14ac:dyDescent="0.2">
      <c r="A5" s="21"/>
      <c r="B5" s="21"/>
      <c r="C5" s="21"/>
      <c r="D5" s="21"/>
      <c r="E5" s="21"/>
      <c r="F5" s="21"/>
      <c r="G5" s="21"/>
      <c r="H5" s="21"/>
      <c r="I5" s="21"/>
      <c r="J5" s="22"/>
    </row>
    <row r="6" spans="1:10" x14ac:dyDescent="0.2">
      <c r="A6" s="21"/>
      <c r="B6" s="21"/>
      <c r="C6" s="21"/>
      <c r="D6" s="21"/>
      <c r="E6" s="21"/>
      <c r="F6" s="21"/>
      <c r="G6" s="21"/>
      <c r="H6" s="21"/>
      <c r="I6" s="21"/>
      <c r="J6" s="22"/>
    </row>
    <row r="7" spans="1:10" x14ac:dyDescent="0.2">
      <c r="A7" s="21"/>
      <c r="B7" s="21"/>
      <c r="C7" s="21"/>
      <c r="D7" s="21"/>
      <c r="E7" s="21"/>
      <c r="F7" s="21"/>
      <c r="G7" s="21"/>
      <c r="H7" s="21"/>
      <c r="I7" s="21"/>
      <c r="J7" s="22"/>
    </row>
    <row r="8" spans="1:10" x14ac:dyDescent="0.2">
      <c r="A8" s="21"/>
      <c r="B8" s="21"/>
      <c r="C8" s="21"/>
      <c r="D8" s="21"/>
      <c r="E8" s="21"/>
      <c r="F8" s="21"/>
      <c r="G8" s="21"/>
      <c r="H8" s="21"/>
      <c r="I8" s="21"/>
      <c r="J8" s="22"/>
    </row>
    <row r="9" spans="1:10" x14ac:dyDescent="0.2">
      <c r="A9" s="21"/>
      <c r="B9" s="21"/>
      <c r="C9" s="21"/>
      <c r="D9" s="21"/>
      <c r="E9" s="21"/>
      <c r="F9" s="21"/>
      <c r="G9" s="21"/>
      <c r="H9" s="21"/>
      <c r="I9" s="21"/>
      <c r="J9" s="22"/>
    </row>
    <row r="10" spans="1:10" x14ac:dyDescent="0.2">
      <c r="A10" s="21"/>
      <c r="B10" s="21"/>
      <c r="C10" s="21"/>
      <c r="D10" s="21"/>
      <c r="E10" s="21"/>
      <c r="F10" s="21"/>
      <c r="G10" s="21"/>
      <c r="H10" s="21"/>
      <c r="I10" s="21"/>
      <c r="J10" s="22"/>
    </row>
    <row r="11" spans="1:10" x14ac:dyDescent="0.2">
      <c r="A11" s="21"/>
      <c r="B11" s="21"/>
      <c r="C11" s="21"/>
      <c r="D11" s="21"/>
      <c r="E11" s="21"/>
      <c r="F11" s="21"/>
      <c r="G11" s="21"/>
      <c r="H11" s="21"/>
      <c r="I11" s="21"/>
      <c r="J11" s="22"/>
    </row>
    <row r="12" spans="1:10" x14ac:dyDescent="0.2">
      <c r="A12" s="21"/>
      <c r="B12" s="21"/>
      <c r="C12" s="21"/>
      <c r="D12" s="21"/>
      <c r="E12" s="21"/>
      <c r="F12" s="21"/>
      <c r="G12" s="21"/>
      <c r="H12" s="21"/>
      <c r="I12" s="21"/>
      <c r="J12" s="22"/>
    </row>
    <row r="13" spans="1:10" x14ac:dyDescent="0.2">
      <c r="A13" s="21"/>
      <c r="B13" s="21"/>
      <c r="C13" s="21"/>
      <c r="D13" s="21"/>
      <c r="E13" s="21"/>
      <c r="F13" s="21"/>
      <c r="G13" s="21"/>
      <c r="H13" s="21"/>
      <c r="I13" s="21"/>
      <c r="J13" s="22"/>
    </row>
    <row r="14" spans="1:10" x14ac:dyDescent="0.2">
      <c r="A14" s="21"/>
      <c r="B14" s="21"/>
      <c r="C14" s="21"/>
      <c r="D14" s="21"/>
      <c r="E14" s="21"/>
      <c r="F14" s="21"/>
      <c r="G14" s="21"/>
      <c r="H14" s="21"/>
      <c r="I14" s="21"/>
      <c r="J14" s="22"/>
    </row>
    <row r="15" spans="1:10" x14ac:dyDescent="0.2">
      <c r="A15" s="21"/>
      <c r="B15" s="21"/>
      <c r="C15" s="21"/>
      <c r="D15" s="21"/>
      <c r="E15" s="21"/>
      <c r="F15" s="21"/>
      <c r="G15" s="21"/>
      <c r="H15" s="21"/>
      <c r="I15" s="21"/>
      <c r="J15" s="22"/>
    </row>
    <row r="16" spans="1:10" x14ac:dyDescent="0.2">
      <c r="A16" s="21"/>
      <c r="B16" s="21"/>
      <c r="C16" s="21"/>
      <c r="D16" s="21"/>
      <c r="E16" s="21"/>
      <c r="F16" s="21"/>
      <c r="G16" s="21"/>
      <c r="H16" s="21"/>
      <c r="I16" s="21"/>
      <c r="J16" s="22"/>
    </row>
    <row r="17" spans="1:10" x14ac:dyDescent="0.2">
      <c r="A17" s="21"/>
      <c r="B17" s="21"/>
      <c r="C17" s="21"/>
      <c r="D17" s="21"/>
      <c r="E17" s="21"/>
      <c r="F17" s="21"/>
      <c r="G17" s="21"/>
      <c r="H17" s="21"/>
      <c r="I17" s="21"/>
      <c r="J17" s="22"/>
    </row>
    <row r="18" spans="1:10" x14ac:dyDescent="0.2">
      <c r="A18" s="21"/>
      <c r="B18" s="21"/>
      <c r="C18" s="21"/>
      <c r="D18" s="21"/>
      <c r="E18" s="21"/>
      <c r="F18" s="21"/>
      <c r="G18" s="21"/>
      <c r="H18" s="21"/>
      <c r="I18" s="21"/>
      <c r="J18" s="22"/>
    </row>
    <row r="19" spans="1:10" x14ac:dyDescent="0.2">
      <c r="A19" s="21"/>
      <c r="B19" s="21"/>
      <c r="C19" s="21"/>
      <c r="D19" s="21"/>
      <c r="E19" s="21"/>
      <c r="F19" s="21"/>
      <c r="G19" s="21"/>
      <c r="H19" s="21"/>
      <c r="I19" s="21"/>
      <c r="J19" s="22"/>
    </row>
    <row r="20" spans="1:10" x14ac:dyDescent="0.2">
      <c r="A20" s="21"/>
      <c r="B20" s="21"/>
      <c r="C20" s="21"/>
      <c r="D20" s="21"/>
      <c r="E20" s="21"/>
      <c r="F20" s="21"/>
      <c r="G20" s="21"/>
      <c r="H20" s="21"/>
      <c r="I20" s="21"/>
      <c r="J20" s="22"/>
    </row>
    <row r="21" spans="1:10" x14ac:dyDescent="0.2">
      <c r="A21" s="21"/>
      <c r="B21" s="21"/>
      <c r="C21" s="21"/>
      <c r="D21" s="21"/>
      <c r="E21" s="21"/>
      <c r="F21" s="21"/>
      <c r="G21" s="21"/>
      <c r="H21" s="21"/>
      <c r="I21" s="21"/>
      <c r="J21" s="22"/>
    </row>
    <row r="22" spans="1:10" x14ac:dyDescent="0.2">
      <c r="A22" s="21"/>
      <c r="B22" s="21"/>
      <c r="C22" s="21"/>
      <c r="D22" s="21"/>
      <c r="E22" s="21"/>
      <c r="F22" s="21"/>
      <c r="G22" s="21"/>
      <c r="H22" s="21"/>
      <c r="I22" s="21"/>
      <c r="J22" s="22"/>
    </row>
    <row r="23" spans="1:10" x14ac:dyDescent="0.2">
      <c r="A23" s="21"/>
      <c r="B23" s="21"/>
      <c r="C23" s="21"/>
      <c r="D23" s="21"/>
      <c r="E23" s="21"/>
      <c r="F23" s="21"/>
      <c r="G23" s="21"/>
      <c r="H23" s="21"/>
      <c r="I23" s="21"/>
      <c r="J23" s="22"/>
    </row>
    <row r="24" spans="1:10" x14ac:dyDescent="0.2">
      <c r="A24" s="21"/>
      <c r="B24" s="21"/>
      <c r="C24" s="21"/>
      <c r="D24" s="21"/>
      <c r="E24" s="21"/>
      <c r="F24" s="21"/>
      <c r="G24" s="21"/>
      <c r="H24" s="21"/>
      <c r="I24" s="21"/>
      <c r="J24" s="22"/>
    </row>
    <row r="25" spans="1:10" x14ac:dyDescent="0.2">
      <c r="A25" s="21"/>
      <c r="B25" s="21"/>
      <c r="C25" s="21"/>
      <c r="D25" s="21"/>
      <c r="E25" s="21"/>
      <c r="F25" s="21"/>
      <c r="G25" s="21"/>
      <c r="H25" s="21"/>
      <c r="I25" s="21"/>
      <c r="J25" s="22"/>
    </row>
    <row r="26" spans="1:10" x14ac:dyDescent="0.2">
      <c r="A26" s="21"/>
      <c r="B26" s="21"/>
      <c r="C26" s="21"/>
      <c r="D26" s="21"/>
      <c r="E26" s="21"/>
      <c r="F26" s="21"/>
      <c r="G26" s="21"/>
      <c r="H26" s="21"/>
      <c r="I26" s="21"/>
      <c r="J26" s="22"/>
    </row>
    <row r="27" spans="1:10" x14ac:dyDescent="0.2">
      <c r="A27" s="21"/>
      <c r="B27" s="21"/>
      <c r="C27" s="21"/>
      <c r="D27" s="21"/>
      <c r="E27" s="21"/>
      <c r="F27" s="21"/>
      <c r="G27" s="21"/>
      <c r="H27" s="21"/>
      <c r="I27" s="21"/>
      <c r="J27" s="22"/>
    </row>
    <row r="28" spans="1:10" x14ac:dyDescent="0.2">
      <c r="A28" s="21"/>
      <c r="B28" s="21"/>
      <c r="C28" s="21"/>
      <c r="D28" s="21"/>
      <c r="E28" s="21"/>
      <c r="F28" s="21"/>
      <c r="G28" s="21"/>
      <c r="H28" s="21"/>
      <c r="I28" s="21"/>
      <c r="J28" s="22"/>
    </row>
    <row r="29" spans="1:10" x14ac:dyDescent="0.2">
      <c r="A29" s="21"/>
      <c r="B29" s="21"/>
      <c r="C29" s="21"/>
      <c r="D29" s="21"/>
      <c r="E29" s="21"/>
      <c r="F29" s="21"/>
      <c r="G29" s="21"/>
      <c r="H29" s="21"/>
      <c r="I29" s="21"/>
      <c r="J29" s="22"/>
    </row>
    <row r="30" spans="1:10" x14ac:dyDescent="0.2">
      <c r="A30" s="21"/>
      <c r="B30" s="21"/>
      <c r="C30" s="21"/>
      <c r="D30" s="21"/>
      <c r="E30" s="21"/>
      <c r="F30" s="21"/>
      <c r="G30" s="21"/>
      <c r="H30" s="21"/>
      <c r="I30" s="21"/>
      <c r="J30" s="22"/>
    </row>
    <row r="31" spans="1:10" x14ac:dyDescent="0.2">
      <c r="A31" s="21"/>
      <c r="B31" s="21"/>
      <c r="C31" s="21"/>
      <c r="D31" s="21"/>
      <c r="E31" s="21"/>
      <c r="F31" s="21"/>
      <c r="G31" s="21"/>
      <c r="H31" s="21"/>
      <c r="I31" s="21"/>
      <c r="J31" s="22"/>
    </row>
    <row r="32" spans="1:10" x14ac:dyDescent="0.2">
      <c r="A32" s="21"/>
      <c r="B32" s="21"/>
      <c r="C32" s="21"/>
      <c r="D32" s="21"/>
      <c r="E32" s="21"/>
      <c r="F32" s="21"/>
      <c r="G32" s="21"/>
      <c r="H32" s="21"/>
      <c r="I32" s="21"/>
      <c r="J32" s="22"/>
    </row>
    <row r="33" spans="1:10" x14ac:dyDescent="0.2">
      <c r="A33" s="21"/>
      <c r="B33" s="21"/>
      <c r="C33" s="21"/>
      <c r="D33" s="21"/>
      <c r="E33" s="21"/>
      <c r="F33" s="21"/>
      <c r="G33" s="21"/>
      <c r="H33" s="21"/>
      <c r="I33" s="21"/>
      <c r="J33" s="22"/>
    </row>
    <row r="34" spans="1:10" x14ac:dyDescent="0.2">
      <c r="A34" s="21"/>
      <c r="B34" s="21"/>
      <c r="C34" s="21"/>
      <c r="D34" s="21"/>
      <c r="E34" s="21"/>
      <c r="F34" s="21"/>
      <c r="G34" s="21"/>
      <c r="H34" s="21"/>
      <c r="I34" s="21"/>
      <c r="J34" s="22"/>
    </row>
    <row r="35" spans="1:10" x14ac:dyDescent="0.2">
      <c r="A35" s="21"/>
      <c r="B35" s="21"/>
      <c r="C35" s="21"/>
      <c r="D35" s="21"/>
      <c r="E35" s="21"/>
      <c r="F35" s="21"/>
      <c r="G35" s="21"/>
      <c r="H35" s="21"/>
      <c r="I35" s="21"/>
      <c r="J35" s="22"/>
    </row>
    <row r="36" spans="1:10" x14ac:dyDescent="0.2">
      <c r="A36" s="21"/>
      <c r="B36" s="21"/>
      <c r="C36" s="21"/>
      <c r="D36" s="21"/>
      <c r="E36" s="21"/>
      <c r="F36" s="21"/>
      <c r="G36" s="21"/>
      <c r="H36" s="21"/>
      <c r="I36" s="21"/>
      <c r="J36" s="22"/>
    </row>
    <row r="37" spans="1:10" x14ac:dyDescent="0.2">
      <c r="A37" s="21"/>
      <c r="B37" s="21"/>
      <c r="C37" s="21"/>
      <c r="D37" s="21"/>
      <c r="E37" s="21"/>
      <c r="F37" s="21"/>
      <c r="G37" s="21"/>
      <c r="H37" s="21"/>
      <c r="I37" s="21"/>
      <c r="J37" s="22"/>
    </row>
    <row r="38" spans="1:10" x14ac:dyDescent="0.2">
      <c r="A38" s="21"/>
      <c r="B38" s="21"/>
      <c r="C38" s="21"/>
      <c r="D38" s="21"/>
      <c r="E38" s="21"/>
      <c r="F38" s="21"/>
      <c r="G38" s="21"/>
      <c r="H38" s="21"/>
      <c r="I38" s="21"/>
      <c r="J38" s="22"/>
    </row>
    <row r="39" spans="1:10" x14ac:dyDescent="0.2">
      <c r="A39" s="21"/>
      <c r="B39" s="21"/>
      <c r="C39" s="21"/>
      <c r="D39" s="21"/>
      <c r="E39" s="21"/>
      <c r="F39" s="21"/>
      <c r="G39" s="21"/>
      <c r="H39" s="21"/>
      <c r="I39" s="21"/>
      <c r="J39" s="22"/>
    </row>
    <row r="40" spans="1:10" x14ac:dyDescent="0.2">
      <c r="A40" s="21"/>
      <c r="B40" s="21"/>
      <c r="C40" s="21"/>
      <c r="D40" s="21"/>
      <c r="E40" s="21"/>
      <c r="F40" s="21"/>
      <c r="G40" s="21"/>
      <c r="H40" s="21"/>
      <c r="I40" s="21"/>
      <c r="J40" s="22"/>
    </row>
    <row r="41" spans="1:10" x14ac:dyDescent="0.2">
      <c r="A41" s="21"/>
      <c r="B41" s="21"/>
      <c r="C41" s="21"/>
      <c r="D41" s="21"/>
      <c r="E41" s="21"/>
      <c r="F41" s="21"/>
      <c r="G41" s="21"/>
      <c r="H41" s="21"/>
      <c r="I41" s="21"/>
      <c r="J41" s="22"/>
    </row>
    <row r="42" spans="1:10" x14ac:dyDescent="0.2">
      <c r="A42" s="21"/>
      <c r="B42" s="21"/>
      <c r="C42" s="21"/>
      <c r="D42" s="21"/>
      <c r="E42" s="21"/>
      <c r="F42" s="21"/>
      <c r="G42" s="21"/>
      <c r="H42" s="21"/>
      <c r="I42" s="21"/>
      <c r="J42" s="22"/>
    </row>
    <row r="43" spans="1:10" x14ac:dyDescent="0.2">
      <c r="A43" s="21"/>
      <c r="B43" s="21"/>
      <c r="C43" s="21"/>
      <c r="D43" s="21"/>
      <c r="E43" s="21"/>
      <c r="F43" s="21"/>
      <c r="G43" s="21"/>
      <c r="H43" s="21"/>
      <c r="I43" s="21"/>
      <c r="J43" s="22"/>
    </row>
    <row r="44" spans="1:10" ht="13.5" thickBot="1" x14ac:dyDescent="0.25">
      <c r="A44" s="23"/>
      <c r="B44" s="23"/>
      <c r="C44" s="23"/>
      <c r="D44" s="23"/>
      <c r="E44" s="23"/>
      <c r="F44" s="23"/>
      <c r="G44" s="23"/>
      <c r="H44" s="23"/>
      <c r="I44" s="23"/>
      <c r="J44" s="24"/>
    </row>
    <row r="45" spans="1:10" ht="13.5" thickTop="1" x14ac:dyDescent="0.2"/>
  </sheetData>
  <phoneticPr fontId="0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6"/>
  <sheetViews>
    <sheetView workbookViewId="0">
      <selection activeCell="M39" sqref="M39:M40"/>
    </sheetView>
  </sheetViews>
  <sheetFormatPr defaultRowHeight="12.75" x14ac:dyDescent="0.2"/>
  <sheetData>
    <row r="1" spans="1:9" x14ac:dyDescent="0.2">
      <c r="A1" s="21"/>
      <c r="B1" s="21"/>
      <c r="C1" s="21"/>
      <c r="D1" s="21"/>
      <c r="E1" s="21"/>
      <c r="F1" s="21"/>
      <c r="G1" s="21"/>
      <c r="H1" s="21"/>
      <c r="I1" s="22"/>
    </row>
    <row r="2" spans="1:9" x14ac:dyDescent="0.2">
      <c r="A2" s="21"/>
      <c r="B2" s="21"/>
      <c r="C2" s="21"/>
      <c r="D2" s="21"/>
      <c r="E2" s="21"/>
      <c r="F2" s="21"/>
      <c r="G2" s="21"/>
      <c r="H2" s="21"/>
      <c r="I2" s="22"/>
    </row>
    <row r="3" spans="1:9" x14ac:dyDescent="0.2">
      <c r="A3" s="21"/>
      <c r="B3" s="21"/>
      <c r="C3" s="21"/>
      <c r="D3" s="21"/>
      <c r="E3" s="21"/>
      <c r="F3" s="21"/>
      <c r="G3" s="21"/>
      <c r="H3" s="21"/>
      <c r="I3" s="22"/>
    </row>
    <row r="4" spans="1:9" x14ac:dyDescent="0.2">
      <c r="A4" s="21"/>
      <c r="B4" s="21"/>
      <c r="C4" s="21"/>
      <c r="D4" s="21"/>
      <c r="E4" s="21"/>
      <c r="F4" s="21"/>
      <c r="G4" s="21"/>
      <c r="H4" s="21"/>
      <c r="I4" s="22"/>
    </row>
    <row r="5" spans="1:9" x14ac:dyDescent="0.2">
      <c r="A5" s="21"/>
      <c r="B5" s="21"/>
      <c r="C5" s="21"/>
      <c r="D5" s="21"/>
      <c r="E5" s="21"/>
      <c r="F5" s="21"/>
      <c r="G5" s="21"/>
      <c r="H5" s="21"/>
      <c r="I5" s="22"/>
    </row>
    <row r="6" spans="1:9" x14ac:dyDescent="0.2">
      <c r="A6" s="21"/>
      <c r="B6" s="21"/>
      <c r="C6" s="21"/>
      <c r="D6" s="21"/>
      <c r="E6" s="21"/>
      <c r="F6" s="21"/>
      <c r="G6" s="21"/>
      <c r="H6" s="21"/>
      <c r="I6" s="22"/>
    </row>
    <row r="7" spans="1:9" x14ac:dyDescent="0.2">
      <c r="A7" s="21"/>
      <c r="B7" s="21"/>
      <c r="C7" s="21"/>
      <c r="D7" s="21"/>
      <c r="E7" s="21"/>
      <c r="F7" s="21"/>
      <c r="G7" s="21"/>
      <c r="H7" s="21"/>
      <c r="I7" s="22"/>
    </row>
    <row r="8" spans="1:9" x14ac:dyDescent="0.2">
      <c r="A8" s="21"/>
      <c r="B8" s="21"/>
      <c r="C8" s="21"/>
      <c r="D8" s="21"/>
      <c r="E8" s="21"/>
      <c r="F8" s="21"/>
      <c r="G8" s="21"/>
      <c r="H8" s="21"/>
      <c r="I8" s="22"/>
    </row>
    <row r="9" spans="1:9" x14ac:dyDescent="0.2">
      <c r="A9" s="21"/>
      <c r="B9" s="21"/>
      <c r="C9" s="21"/>
      <c r="D9" s="21"/>
      <c r="E9" s="21"/>
      <c r="F9" s="21"/>
      <c r="G9" s="21"/>
      <c r="H9" s="21"/>
      <c r="I9" s="22"/>
    </row>
    <row r="10" spans="1:9" x14ac:dyDescent="0.2">
      <c r="A10" s="21"/>
      <c r="B10" s="21"/>
      <c r="C10" s="21"/>
      <c r="D10" s="21"/>
      <c r="E10" s="21"/>
      <c r="F10" s="21"/>
      <c r="G10" s="21"/>
      <c r="H10" s="21"/>
      <c r="I10" s="22"/>
    </row>
    <row r="11" spans="1:9" x14ac:dyDescent="0.2">
      <c r="A11" s="21"/>
      <c r="B11" s="21"/>
      <c r="C11" s="21"/>
      <c r="D11" s="21"/>
      <c r="E11" s="21"/>
      <c r="F11" s="21"/>
      <c r="G11" s="21"/>
      <c r="H11" s="21"/>
      <c r="I11" s="22"/>
    </row>
    <row r="12" spans="1:9" x14ac:dyDescent="0.2">
      <c r="A12" s="21"/>
      <c r="B12" s="21"/>
      <c r="C12" s="21"/>
      <c r="D12" s="21"/>
      <c r="E12" s="21"/>
      <c r="F12" s="21"/>
      <c r="G12" s="21"/>
      <c r="H12" s="21"/>
      <c r="I12" s="22"/>
    </row>
    <row r="13" spans="1:9" x14ac:dyDescent="0.2">
      <c r="A13" s="21"/>
      <c r="B13" s="21"/>
      <c r="C13" s="21"/>
      <c r="D13" s="21"/>
      <c r="E13" s="21"/>
      <c r="F13" s="21"/>
      <c r="G13" s="21"/>
      <c r="H13" s="21"/>
      <c r="I13" s="22"/>
    </row>
    <row r="14" spans="1:9" x14ac:dyDescent="0.2">
      <c r="A14" s="21"/>
      <c r="B14" s="21"/>
      <c r="C14" s="21"/>
      <c r="D14" s="21"/>
      <c r="E14" s="21"/>
      <c r="F14" s="21"/>
      <c r="G14" s="21"/>
      <c r="H14" s="21"/>
      <c r="I14" s="22"/>
    </row>
    <row r="15" spans="1:9" ht="13.5" thickBot="1" x14ac:dyDescent="0.25">
      <c r="A15" s="23"/>
      <c r="B15" s="23"/>
      <c r="C15" s="23"/>
      <c r="D15" s="23"/>
      <c r="E15" s="23"/>
      <c r="F15" s="23"/>
      <c r="G15" s="23"/>
      <c r="H15" s="23"/>
      <c r="I15" s="24"/>
    </row>
    <row r="16" spans="1:9" ht="13.5" thickTop="1" x14ac:dyDescent="0.2"/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Function</vt:lpstr>
      <vt:lpstr>Instructions</vt:lpstr>
      <vt:lpstr>About</vt:lpstr>
    </vt:vector>
  </TitlesOfParts>
  <Company>Virginia Tech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Chance</dc:creator>
  <cp:lastModifiedBy>Don Chance</cp:lastModifiedBy>
  <cp:lastPrinted>2003-07-07T14:44:16Z</cp:lastPrinted>
  <dcterms:created xsi:type="dcterms:W3CDTF">1999-07-25T15:37:28Z</dcterms:created>
  <dcterms:modified xsi:type="dcterms:W3CDTF">2014-03-18T18:57:23Z</dcterms:modified>
</cp:coreProperties>
</file>