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440" yWindow="270" windowWidth="15255" windowHeight="9465" firstSheet="1" activeTab="1"/>
  </bookViews>
  <sheets>
    <sheet name="Procedures" sheetId="1" state="veryHidden" r:id=""/>
    <sheet name="Black-Scholes-Merton &amp; Binomial" sheetId="2" r:id="rId1"/>
    <sheet name="Instructions" sheetId="3" r:id="rId2"/>
    <sheet name="About" sheetId="4" r:id="rId3"/>
  </sheets>
  <functionGroups builtInGroupCount="17"/>
  <definedNames>
    <definedName name="dvec">'Black-Scholes-Merton &amp; Binomial'!$B$27:$C$126</definedName>
    <definedName name="mcruns">'Black-Scholes-Merton &amp; Binomial'!$G$36</definedName>
    <definedName name="mcsec">'Black-Scholes-Merton &amp; Binomial'!$G$39</definedName>
    <definedName name="mcsep">'Black-Scholes-Merton &amp; Binomial'!$H$39</definedName>
    <definedName name="nsteps">'Black-Scholes-Merton &amp; Binomial'!$J$11</definedName>
    <definedName name="pvdisdiv">'Black-Scholes-Merton &amp; Binomial'!$D$27:$D$126</definedName>
    <definedName name="rf">'Black-Scholes-Merton &amp; Binomial'!$C$15</definedName>
    <definedName name="rfrdc">'Black-Scholes-Merton &amp; Binomial'!#REF!</definedName>
    <definedName name="S">'Black-Scholes-Merton &amp; Binomial'!$C$11</definedName>
    <definedName name="sac">'Black-Scholes-Merton &amp; Binomial'!$J$20</definedName>
    <definedName name="sacd">'Black-Scholes-Merton &amp; Binomial'!$J$21</definedName>
    <definedName name="sacg">'Black-Scholes-Merton &amp; Binomial'!$J$22</definedName>
    <definedName name="sact">'Black-Scholes-Merton &amp; Binomial'!$J$23</definedName>
    <definedName name="sap">'Black-Scholes-Merton &amp; Binomial'!$K$20</definedName>
    <definedName name="sapd">'Black-Scholes-Merton &amp; Binomial'!$K$21</definedName>
    <definedName name="sapg">'Black-Scholes-Merton &amp; Binomial'!$K$22</definedName>
    <definedName name="sapt">'Black-Scholes-Merton &amp; Binomial'!$K$23</definedName>
    <definedName name="sec">'Black-Scholes-Merton &amp; Binomial'!$J$14</definedName>
    <definedName name="secd">'Black-Scholes-Merton &amp; Binomial'!$J$15</definedName>
    <definedName name="secg">'Black-Scholes-Merton &amp; Binomial'!$J$16</definedName>
    <definedName name="sect">'Black-Scholes-Merton &amp; Binomial'!$J$17</definedName>
    <definedName name="sep">'Black-Scholes-Merton &amp; Binomial'!$K$14</definedName>
    <definedName name="sepd">'Black-Scholes-Merton &amp; Binomial'!$K$15</definedName>
    <definedName name="sepg">'Black-Scholes-Merton &amp; Binomial'!$K$16</definedName>
    <definedName name="sept">'Black-Scholes-Merton &amp; Binomial'!$K$17</definedName>
    <definedName name="sigma">'Black-Scholes-Merton &amp; Binomial'!$C$14</definedName>
    <definedName name="solver_adj" localSheetId="1" hidden="1">'Black-Scholes-Merton &amp; Binomial'!$C$14</definedName>
    <definedName name="solver_cvg" localSheetId="1" hidden="1">0.001</definedName>
    <definedName name="solver_drv" localSheetId="1" hidden="1">1</definedName>
    <definedName name="solver_est" localSheetId="1" hidden="1">1</definedName>
    <definedName name="solver_itr" localSheetId="1" hidden="1">100</definedName>
    <definedName name="solver_lin" localSheetId="1" hidden="1">2</definedName>
    <definedName name="solver_neg" localSheetId="1" hidden="1">2</definedName>
    <definedName name="solver_num" localSheetId="1" hidden="1">0</definedName>
    <definedName name="solver_nwt" localSheetId="1" hidden="1">1</definedName>
    <definedName name="solver_opt" localSheetId="1" hidden="1">'Black-Scholes-Merton &amp; Binomial'!$G$13</definedName>
    <definedName name="solver_pre" localSheetId="1" hidden="1">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3</definedName>
    <definedName name="solver_val" localSheetId="1" hidden="1">2.4375</definedName>
    <definedName name="t">'Black-Scholes-Merton &amp; Binomial'!$C$13</definedName>
    <definedName name="trfr">'Black-Scholes-Merton &amp; Binomial'!$C$134</definedName>
    <definedName name="X">'Black-Scholes-Merton &amp; Binomial'!$C$12</definedName>
    <definedName name="yield">'Black-Scholes-Merton &amp; Binomial'!$C$16</definedName>
  </definedNames>
  <calcPr calcId="145621"/>
</workbook>
</file>

<file path=xl/calcChain.xml><?xml version="1.0" encoding="utf-8"?>
<calcChain xmlns="http://schemas.openxmlformats.org/spreadsheetml/2006/main">
  <c r="G25" i="2" l="1"/>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C134" i="2"/>
  <c r="D27" i="2"/>
  <c r="D128" i="2"/>
  <c r="G24" i="2"/>
  <c r="G26"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G17" i="2"/>
  <c r="G18" i="2"/>
  <c r="G22" i="2"/>
  <c r="G23" i="2"/>
  <c r="H13" i="2"/>
  <c r="H18" i="2"/>
  <c r="G14" i="2"/>
  <c r="H16" i="2"/>
  <c r="G13" i="2"/>
  <c r="H17" i="2"/>
  <c r="H14" i="2"/>
  <c r="G21" i="2"/>
  <c r="G15" i="2"/>
  <c r="G20" i="2"/>
  <c r="H15" i="2"/>
  <c r="G16" i="2"/>
</calcChain>
</file>

<file path=xl/sharedStrings.xml><?xml version="1.0" encoding="utf-8"?>
<sst xmlns="http://schemas.openxmlformats.org/spreadsheetml/2006/main" count="57" uniqueCount="40">
  <si>
    <t>Inputs:</t>
  </si>
  <si>
    <t>European</t>
  </si>
  <si>
    <t>Call</t>
  </si>
  <si>
    <t>Put</t>
  </si>
  <si>
    <t xml:space="preserve"> Price</t>
  </si>
  <si>
    <r>
      <t>d</t>
    </r>
    <r>
      <rPr>
        <vertAlign val="subscript"/>
        <sz val="10"/>
        <rFont val="Arial"/>
        <family val="2"/>
      </rPr>
      <t>1</t>
    </r>
  </si>
  <si>
    <t>Time to expiration (T)</t>
  </si>
  <si>
    <r>
      <t>Delta (</t>
    </r>
    <r>
      <rPr>
        <sz val="10"/>
        <rFont val="Symbol"/>
        <family val="1"/>
        <charset val="2"/>
      </rPr>
      <t>D</t>
    </r>
    <r>
      <rPr>
        <sz val="10"/>
        <rFont val="Arial"/>
        <family val="2"/>
      </rPr>
      <t>)</t>
    </r>
  </si>
  <si>
    <r>
      <t>d</t>
    </r>
    <r>
      <rPr>
        <vertAlign val="subscript"/>
        <sz val="10"/>
        <rFont val="Arial"/>
        <family val="2"/>
      </rPr>
      <t>2</t>
    </r>
  </si>
  <si>
    <r>
      <t>Standard deviation (</t>
    </r>
    <r>
      <rPr>
        <sz val="10"/>
        <rFont val="Symbol"/>
        <family val="1"/>
        <charset val="2"/>
      </rPr>
      <t>s</t>
    </r>
    <r>
      <rPr>
        <sz val="10"/>
        <rFont val="Arial"/>
        <family val="2"/>
      </rPr>
      <t>)</t>
    </r>
  </si>
  <si>
    <r>
      <t>Gamma (</t>
    </r>
    <r>
      <rPr>
        <sz val="10"/>
        <rFont val="Symbol"/>
        <family val="1"/>
        <charset val="2"/>
      </rPr>
      <t>G</t>
    </r>
    <r>
      <rPr>
        <sz val="10"/>
        <rFont val="Arial"/>
        <family val="2"/>
      </rPr>
      <t>)</t>
    </r>
  </si>
  <si>
    <r>
      <t>N(d</t>
    </r>
    <r>
      <rPr>
        <vertAlign val="subscript"/>
        <sz val="10"/>
        <rFont val="Arial"/>
        <family val="2"/>
      </rPr>
      <t>1</t>
    </r>
    <r>
      <rPr>
        <sz val="10"/>
        <rFont val="Arial"/>
        <family val="2"/>
      </rPr>
      <t>)</t>
    </r>
  </si>
  <si>
    <t xml:space="preserve">Dividends: </t>
  </si>
  <si>
    <r>
      <t>Theta (</t>
    </r>
    <r>
      <rPr>
        <sz val="10"/>
        <rFont val="Symbol"/>
        <family val="1"/>
        <charset val="2"/>
      </rPr>
      <t>Q</t>
    </r>
    <r>
      <rPr>
        <sz val="10"/>
        <rFont val="Arial"/>
        <family val="2"/>
      </rPr>
      <t>)</t>
    </r>
  </si>
  <si>
    <r>
      <t>N(d</t>
    </r>
    <r>
      <rPr>
        <vertAlign val="subscript"/>
        <sz val="10"/>
        <rFont val="Arial"/>
        <family val="2"/>
      </rPr>
      <t>2</t>
    </r>
    <r>
      <rPr>
        <sz val="10"/>
        <rFont val="Arial"/>
        <family val="2"/>
      </rPr>
      <t>)</t>
    </r>
  </si>
  <si>
    <t>Vega</t>
  </si>
  <si>
    <t>Binomial Model</t>
  </si>
  <si>
    <t>Steps:</t>
  </si>
  <si>
    <t>Price</t>
  </si>
  <si>
    <t>Dividend #</t>
  </si>
  <si>
    <t xml:space="preserve">Dividend </t>
  </si>
  <si>
    <t>Time to ex date</t>
  </si>
  <si>
    <t>Present Value</t>
  </si>
  <si>
    <t xml:space="preserve"> </t>
  </si>
  <si>
    <t>=</t>
  </si>
  <si>
    <t>Sum</t>
  </si>
  <si>
    <t>discrete</t>
  </si>
  <si>
    <t>continuous</t>
  </si>
  <si>
    <r>
      <t>Risk-free rate (r or r</t>
    </r>
    <r>
      <rPr>
        <vertAlign val="subscript"/>
        <sz val="10"/>
        <rFont val="Arial"/>
        <family val="2"/>
      </rPr>
      <t>c</t>
    </r>
    <r>
      <rPr>
        <sz val="10"/>
        <rFont val="Arial"/>
        <family val="2"/>
      </rPr>
      <t>)</t>
    </r>
  </si>
  <si>
    <t>Do not change the items below******************************</t>
  </si>
  <si>
    <t>American Call</t>
  </si>
  <si>
    <r>
      <t>Asset price (S</t>
    </r>
    <r>
      <rPr>
        <vertAlign val="subscript"/>
        <sz val="10"/>
        <rFont val="Arial"/>
        <family val="2"/>
      </rPr>
      <t>0</t>
    </r>
    <r>
      <rPr>
        <sz val="10"/>
        <rFont val="Arial"/>
        <family val="2"/>
      </rPr>
      <t>)</t>
    </r>
  </si>
  <si>
    <t>Exercise price (X)</t>
  </si>
  <si>
    <t>American</t>
  </si>
  <si>
    <r>
      <t xml:space="preserve">   continuous yield (</t>
    </r>
    <r>
      <rPr>
        <sz val="10"/>
        <rFont val="Symbol"/>
        <family val="1"/>
        <charset val="2"/>
      </rPr>
      <t>d</t>
    </r>
    <r>
      <rPr>
        <vertAlign val="subscript"/>
        <sz val="10"/>
        <rFont val="Times New Roman"/>
        <family val="1"/>
      </rPr>
      <t>c</t>
    </r>
    <r>
      <rPr>
        <sz val="10"/>
        <rFont val="Arial"/>
        <family val="2"/>
      </rPr>
      <t>) or discrete dividends below:</t>
    </r>
  </si>
  <si>
    <t>Rho</t>
  </si>
  <si>
    <t>Black-Scholes-Merton Model</t>
  </si>
  <si>
    <t>PV of divs</t>
  </si>
  <si>
    <t>PV of strike</t>
  </si>
  <si>
    <t>S - PV divs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</si>
</sst>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0" x14ac:knownFonts="1">
    <font>
      <sz val="10"/>
      <name val="Arial"/>
    </font>
    <font>
      <b/>
      <sz val="10"/>
      <name val="Arial"/>
      <family val="2"/>
    </font>
    <font>
      <sz val="10"/>
      <name val="Arial"/>
      <family val="2"/>
    </font>
    <font>
      <vertAlign val="subscript"/>
      <sz val="10"/>
      <name val="Arial"/>
      <family val="2"/>
    </font>
    <font>
      <sz val="10"/>
      <color indexed="12"/>
      <name val="Arial"/>
      <family val="2"/>
    </font>
    <font>
      <sz val="10"/>
      <name val="Symbol"/>
      <family val="1"/>
      <charset val="2"/>
    </font>
    <font>
      <b/>
      <sz val="12"/>
      <name val="Arial"/>
      <family val="2"/>
    </font>
    <font>
      <b/>
      <sz val="10"/>
      <name val="Arial"/>
      <family val="2"/>
    </font>
    <font>
      <vertAlign val="subscript"/>
      <sz val="10"/>
      <name val="Times New Roman"/>
      <family val="1"/>
    </font>
    <font>
      <b/>
      <sz val="8"/>
      <color rgb="FF000000"/>
      <name val="Arial"/>
      <family val="2"/>
    </font>
  </fonts>
  <fills count="4">
    <fill>
      <patternFill patternType="none"/>
    </fill>
    <fill>
      <patternFill patternType="gray125"/>
    </fill>
    <fill>
      <patternFill patternType="solid">
        <fgColor rgb="FFFFFF00"/>
        <bgColor indexed="64"/>
      </patternFill>
    </fill>
    <fill>
      <patternFill patternType="solid">
        <fgColor rgb="FF00B0F0"/>
        <bgColor indexed="64"/>
      </patternFill>
    </fill>
  </fills>
  <borders count="15">
    <border>
      <left/>
      <right/>
      <top/>
      <bottom/>
      <diagonal/>
    </border>
    <border>
      <left/>
      <right style="thin">
        <color indexed="64"/>
      </right>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right style="thin">
        <color indexed="64"/>
      </right>
      <top style="thin">
        <color indexed="64"/>
      </top>
      <bottom style="thin">
        <color indexed="64"/>
      </bottom>
      <diagonal/>
    </border>
    <border>
      <left/>
      <right style="double">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9" fontId="2" fillId="0" borderId="0" applyFont="0" applyFill="0" applyBorder="0" applyAlignment="0" applyProtection="0"/>
  </cellStyleXfs>
  <cellXfs count="47">
    <xf numFmtId="0" fontId="0" fillId="0" borderId="0" xfId="0"/>
    <xf numFmtId="164" fontId="0" fillId="0" borderId="0" xfId="0" applyNumberFormat="1"/>
    <xf numFmtId="0" fontId="2" fillId="0" borderId="0" xfId="0" applyFont="1"/>
    <xf numFmtId="0" fontId="0" fillId="2" borderId="0" xfId="0" applyFill="1"/>
    <xf numFmtId="0" fontId="0" fillId="2" borderId="1" xfId="0" applyFill="1" applyBorder="1"/>
    <xf numFmtId="0" fontId="6" fillId="2" borderId="0" xfId="0" applyFont="1" applyFill="1"/>
    <xf numFmtId="0" fontId="6" fillId="2" borderId="0" xfId="0" applyFont="1" applyFill="1" applyAlignment="1">
      <alignment horizontal="left"/>
    </xf>
    <xf numFmtId="0" fontId="0" fillId="2" borderId="0" xfId="0" applyFill="1" applyAlignment="1">
      <alignment horizontal="left"/>
    </xf>
    <xf numFmtId="0" fontId="4" fillId="2" borderId="2" xfId="0" applyFont="1" applyFill="1" applyBorder="1" applyProtection="1">
      <protection locked="0"/>
    </xf>
    <xf numFmtId="0" fontId="4" fillId="2" borderId="0" xfId="0" applyFont="1" applyFill="1" applyBorder="1" applyProtection="1">
      <protection locked="0"/>
    </xf>
    <xf numFmtId="0" fontId="1" fillId="2" borderId="0" xfId="0" applyFont="1" applyFill="1" applyAlignment="1">
      <alignment horizontal="right"/>
    </xf>
    <xf numFmtId="0" fontId="7" fillId="2" borderId="0" xfId="0" applyFont="1" applyFill="1" applyAlignment="1">
      <alignment horizontal="right"/>
    </xf>
    <xf numFmtId="3" fontId="4" fillId="2" borderId="3" xfId="0" applyNumberFormat="1" applyFont="1" applyFill="1" applyBorder="1" applyProtection="1">
      <protection locked="0"/>
    </xf>
    <xf numFmtId="0" fontId="4" fillId="2" borderId="4" xfId="0" applyFont="1" applyFill="1" applyBorder="1" applyProtection="1">
      <protection locked="0"/>
    </xf>
    <xf numFmtId="0" fontId="1" fillId="2" borderId="0" xfId="0" quotePrefix="1" applyFont="1" applyFill="1" applyAlignment="1">
      <alignment horizontal="right"/>
    </xf>
    <xf numFmtId="164" fontId="4" fillId="2" borderId="4" xfId="0" applyNumberFormat="1" applyFont="1" applyFill="1" applyBorder="1" applyProtection="1">
      <protection locked="0"/>
    </xf>
    <xf numFmtId="164" fontId="4" fillId="2" borderId="0" xfId="0" applyNumberFormat="1" applyFont="1" applyFill="1" applyBorder="1" applyProtection="1">
      <protection locked="0"/>
    </xf>
    <xf numFmtId="0" fontId="0" fillId="2" borderId="0" xfId="0" quotePrefix="1" applyFill="1" applyAlignment="1">
      <alignment horizontal="right"/>
    </xf>
    <xf numFmtId="164" fontId="0" fillId="2" borderId="5" xfId="0" applyNumberFormat="1" applyFill="1" applyBorder="1" applyProtection="1">
      <protection locked="0"/>
    </xf>
    <xf numFmtId="0" fontId="5" fillId="2" borderId="0" xfId="0" applyFont="1" applyFill="1"/>
    <xf numFmtId="10" fontId="4" fillId="2" borderId="6" xfId="1" applyNumberFormat="1" applyFont="1" applyFill="1" applyBorder="1" applyProtection="1">
      <protection locked="0"/>
    </xf>
    <xf numFmtId="10" fontId="4" fillId="2" borderId="0" xfId="1" applyNumberFormat="1" applyFont="1" applyFill="1" applyBorder="1" applyProtection="1">
      <protection locked="0"/>
    </xf>
    <xf numFmtId="10" fontId="4" fillId="2" borderId="4" xfId="1" applyNumberFormat="1" applyFont="1" applyFill="1" applyBorder="1" applyProtection="1">
      <protection locked="0"/>
    </xf>
    <xf numFmtId="10" fontId="4" fillId="2" borderId="7" xfId="1" applyNumberFormat="1" applyFont="1" applyFill="1" applyBorder="1" applyProtection="1">
      <protection locked="0"/>
    </xf>
    <xf numFmtId="0" fontId="1" fillId="2" borderId="0" xfId="0" applyFont="1" applyFill="1" applyAlignment="1">
      <alignment horizontal="right" wrapText="1"/>
    </xf>
    <xf numFmtId="0" fontId="7" fillId="2" borderId="0" xfId="0" applyFont="1" applyFill="1" applyBorder="1" applyAlignment="1">
      <alignment horizontal="right"/>
    </xf>
    <xf numFmtId="0" fontId="0" fillId="2" borderId="0" xfId="0" applyFill="1" applyAlignment="1">
      <alignment horizontal="right"/>
    </xf>
    <xf numFmtId="0" fontId="0" fillId="2" borderId="8" xfId="0" quotePrefix="1" applyFill="1" applyBorder="1" applyAlignment="1">
      <alignment horizontal="right"/>
    </xf>
    <xf numFmtId="0" fontId="0" fillId="2" borderId="8" xfId="0" quotePrefix="1" applyFill="1" applyBorder="1" applyAlignment="1">
      <alignment horizontal="right" wrapText="1"/>
    </xf>
    <xf numFmtId="0" fontId="2" fillId="2" borderId="0" xfId="0" applyFont="1" applyFill="1" applyAlignment="1">
      <alignment horizontal="right"/>
    </xf>
    <xf numFmtId="0" fontId="0" fillId="2" borderId="9" xfId="0" applyFill="1" applyBorder="1"/>
    <xf numFmtId="164" fontId="4" fillId="2" borderId="3" xfId="0" applyNumberFormat="1" applyFont="1" applyFill="1" applyBorder="1" applyProtection="1">
      <protection locked="0"/>
    </xf>
    <xf numFmtId="164" fontId="0" fillId="2" borderId="10" xfId="0" applyNumberFormat="1" applyFill="1" applyBorder="1" applyProtection="1">
      <protection locked="0"/>
    </xf>
    <xf numFmtId="0" fontId="1" fillId="2" borderId="0" xfId="0" applyFont="1" applyFill="1"/>
    <xf numFmtId="164" fontId="4" fillId="2" borderId="2" xfId="0" applyNumberFormat="1" applyFont="1" applyFill="1" applyBorder="1" applyProtection="1">
      <protection locked="0"/>
    </xf>
    <xf numFmtId="0" fontId="0" fillId="2" borderId="1" xfId="0" quotePrefix="1" applyFill="1" applyBorder="1" applyAlignment="1">
      <alignment horizontal="fill"/>
    </xf>
    <xf numFmtId="0" fontId="0" fillId="2" borderId="10" xfId="0" applyFill="1" applyBorder="1"/>
    <xf numFmtId="164" fontId="0" fillId="2" borderId="10" xfId="0" applyNumberFormat="1" applyFill="1" applyBorder="1"/>
    <xf numFmtId="0" fontId="0" fillId="2" borderId="11" xfId="0" applyFill="1" applyBorder="1"/>
    <xf numFmtId="0" fontId="0" fillId="3" borderId="0" xfId="0" applyFill="1"/>
    <xf numFmtId="0" fontId="0" fillId="3" borderId="1" xfId="0" applyFill="1" applyBorder="1"/>
    <xf numFmtId="0" fontId="0" fillId="3" borderId="0" xfId="0" applyFill="1" applyBorder="1"/>
    <xf numFmtId="0" fontId="0" fillId="3" borderId="11" xfId="0" applyFill="1" applyBorder="1"/>
    <xf numFmtId="0" fontId="0" fillId="3" borderId="10" xfId="0" applyFill="1" applyBorder="1"/>
    <xf numFmtId="0" fontId="0" fillId="3" borderId="12" xfId="0" applyFill="1" applyBorder="1"/>
    <xf numFmtId="0" fontId="0" fillId="3" borderId="13" xfId="0" applyFill="1" applyBorder="1"/>
    <xf numFmtId="0" fontId="0" fillId="3" borderId="14" xfId="0" applyFill="1" applyBorder="1"/>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List" dx="16" fmlaLink="B134" fmlaRange="$A$134:$A$135" sel="2" val="0"/>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285750</xdr:colOff>
      <xdr:row>0</xdr:row>
      <xdr:rowOff>0</xdr:rowOff>
    </xdr:from>
    <xdr:to>
      <xdr:col>9</xdr:col>
      <xdr:colOff>495300</xdr:colOff>
      <xdr:row>0</xdr:row>
      <xdr:rowOff>0</xdr:rowOff>
    </xdr:to>
    <xdr:sp macro="" textlink="">
      <xdr:nvSpPr>
        <xdr:cNvPr id="1032" name="Text 8"/>
        <xdr:cNvSpPr>
          <a:spLocks noChangeArrowheads="1"/>
        </xdr:cNvSpPr>
      </xdr:nvSpPr>
      <xdr:spPr bwMode="auto">
        <a:xfrm>
          <a:off x="285750" y="0"/>
          <a:ext cx="6057900" cy="0"/>
        </a:xfrm>
        <a:prstGeom prst="roundRect">
          <a:avLst>
            <a:gd name="adj" fmla="val 16667"/>
          </a:avLst>
        </a:prstGeom>
        <a:solidFill>
          <a:srgbClr val="FFFF99"/>
        </a:solidFill>
        <a:ln w="9525">
          <a:solidFill>
            <a:srgbClr val="000000"/>
          </a:solidFill>
          <a:round/>
          <a:headEnd/>
          <a:tailEnd/>
        </a:ln>
        <a:effectLst>
          <a:outerShdw dist="35921" dir="2700000" algn="ctr" rotWithShape="0">
            <a:srgbClr val="000000"/>
          </a:outerShdw>
        </a:effec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BLACK-SCHOLES &amp; BINOMIAL OPTION PRICING MODELS</a:t>
          </a:r>
        </a:p>
        <a:p>
          <a:pPr algn="ctr" rtl="0">
            <a:defRPr sz="1000"/>
          </a:pPr>
          <a:r>
            <a:rPr lang="en-US" sz="1600" b="1" i="0" u="none" strike="noStrike" baseline="0">
              <a:solidFill>
                <a:srgbClr val="000000"/>
              </a:solidFill>
              <a:latin typeface="Arial"/>
              <a:cs typeface="Arial"/>
            </a:rPr>
            <a:t>bsbin3.xls</a:t>
          </a:r>
        </a:p>
      </xdr:txBody>
    </xdr:sp>
    <xdr:clientData/>
  </xdr:twoCellAnchor>
  <xdr:twoCellAnchor>
    <xdr:from>
      <xdr:col>0</xdr:col>
      <xdr:colOff>57150</xdr:colOff>
      <xdr:row>17</xdr:row>
      <xdr:rowOff>66675</xdr:rowOff>
    </xdr:from>
    <xdr:to>
      <xdr:col>5</xdr:col>
      <xdr:colOff>219075</xdr:colOff>
      <xdr:row>22</xdr:row>
      <xdr:rowOff>76200</xdr:rowOff>
    </xdr:to>
    <xdr:sp macro="" textlink="">
      <xdr:nvSpPr>
        <xdr:cNvPr id="1038" name="Text 14"/>
        <xdr:cNvSpPr>
          <a:spLocks noChangeArrowheads="1"/>
        </xdr:cNvSpPr>
      </xdr:nvSpPr>
      <xdr:spPr bwMode="auto">
        <a:xfrm>
          <a:off x="57150" y="3057525"/>
          <a:ext cx="3429000" cy="952500"/>
        </a:xfrm>
        <a:prstGeom prst="roundRect">
          <a:avLst>
            <a:gd name="adj" fmla="val 16667"/>
          </a:avLst>
        </a:prstGeom>
        <a:solidFill>
          <a:srgbClr val="FFFFFF"/>
        </a:solidFill>
        <a:ln w="9525">
          <a:solidFill>
            <a:srgbClr val="000000"/>
          </a:solidFill>
          <a:round/>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In lieu of a continuously compounded yield, place below up to one hundred discrete dividends and the time in years to each ex-dividend date.  Leave all unused cells blank.  Set the yield above to zero.  If yield is not set to zero, all discrete dividends are disregarded.</a:t>
          </a:r>
        </a:p>
      </xdr:txBody>
    </xdr:sp>
    <xdr:clientData/>
  </xdr:twoCellAnchor>
  <xdr:twoCellAnchor>
    <xdr:from>
      <xdr:col>2</xdr:col>
      <xdr:colOff>171450</xdr:colOff>
      <xdr:row>0</xdr:row>
      <xdr:rowOff>152400</xdr:rowOff>
    </xdr:from>
    <xdr:to>
      <xdr:col>10</xdr:col>
      <xdr:colOff>85725</xdr:colOff>
      <xdr:row>7</xdr:row>
      <xdr:rowOff>9525</xdr:rowOff>
    </xdr:to>
    <xdr:sp macro="" textlink="">
      <xdr:nvSpPr>
        <xdr:cNvPr id="1066" name="Text 8"/>
        <xdr:cNvSpPr>
          <a:spLocks noChangeArrowheads="1"/>
        </xdr:cNvSpPr>
      </xdr:nvSpPr>
      <xdr:spPr bwMode="auto">
        <a:xfrm>
          <a:off x="1533525" y="152400"/>
          <a:ext cx="5076825" cy="990600"/>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Black-Scholes-Merton and Binomial</a:t>
          </a:r>
        </a:p>
        <a:p>
          <a:pPr algn="ctr" rtl="0">
            <a:defRPr sz="1000"/>
          </a:pPr>
          <a:r>
            <a:rPr lang="en-US" sz="1600" b="1" i="0" u="none" strike="noStrike" baseline="0">
              <a:solidFill>
                <a:srgbClr val="000000"/>
              </a:solidFill>
              <a:latin typeface="Arial"/>
              <a:cs typeface="Arial"/>
            </a:rPr>
            <a:t>Option Pricing</a:t>
          </a:r>
        </a:p>
        <a:p>
          <a:pPr algn="ctr" rtl="0">
            <a:defRPr sz="1000"/>
          </a:pPr>
          <a:r>
            <a:rPr lang="en-US" sz="1600" b="1" i="0" u="none" strike="noStrike" baseline="0">
              <a:solidFill>
                <a:srgbClr val="000000"/>
              </a:solidFill>
              <a:latin typeface="Arial"/>
              <a:cs typeface="Arial"/>
            </a:rPr>
            <a:t>10e</a:t>
          </a:r>
        </a:p>
      </xdr:txBody>
    </xdr:sp>
    <xdr:clientData/>
  </xdr:twoCellAnchor>
  <mc:AlternateContent xmlns:mc="http://schemas.openxmlformats.org/markup-compatibility/2006">
    <mc:Choice xmlns:a14="http://schemas.microsoft.com/office/drawing/2010/main" Requires="a14">
      <xdr:twoCellAnchor>
        <xdr:from>
          <xdr:col>10</xdr:col>
          <xdr:colOff>104775</xdr:colOff>
          <xdr:row>8</xdr:row>
          <xdr:rowOff>114300</xdr:rowOff>
        </xdr:from>
        <xdr:to>
          <xdr:col>11</xdr:col>
          <xdr:colOff>257175</xdr:colOff>
          <xdr:row>10</xdr:row>
          <xdr:rowOff>190500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Run Binomial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819150</xdr:colOff>
          <xdr:row>15</xdr:row>
          <xdr:rowOff>66675</xdr:rowOff>
        </xdr:to>
        <xdr:sp macro="" textlink="">
          <xdr:nvSpPr>
            <xdr:cNvPr id="1051" name="List Box 27" hidden="1">
              <a:extLst>
                <a:ext uri="{63B3BB69-23CF-44E3-9099-C40C66FF867C}">
                  <a14:compatExt spid="_x0000_s10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3</xdr:row>
          <xdr:rowOff>66675</xdr:rowOff>
        </xdr:from>
        <xdr:to>
          <xdr:col>18</xdr:col>
          <xdr:colOff>295275</xdr:colOff>
          <xdr:row>14</xdr:row>
          <xdr:rowOff>38100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16</xdr:row>
          <xdr:rowOff>95250</xdr:rowOff>
        </xdr:from>
        <xdr:to>
          <xdr:col>17</xdr:col>
          <xdr:colOff>57150</xdr:colOff>
          <xdr:row>25</xdr:row>
          <xdr:rowOff>38100</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523875</xdr:colOff>
      <xdr:row>0</xdr:row>
      <xdr:rowOff>114300</xdr:rowOff>
    </xdr:from>
    <xdr:to>
      <xdr:col>8</xdr:col>
      <xdr:colOff>466725</xdr:colOff>
      <xdr:row>23</xdr:row>
      <xdr:rowOff>76200</xdr:rowOff>
    </xdr:to>
    <xdr:sp macro="" textlink="">
      <xdr:nvSpPr>
        <xdr:cNvPr id="2050" name="Text 7"/>
        <xdr:cNvSpPr>
          <a:spLocks noChangeArrowheads="1"/>
        </xdr:cNvSpPr>
      </xdr:nvSpPr>
      <xdr:spPr bwMode="auto">
        <a:xfrm>
          <a:off x="523875" y="114300"/>
          <a:ext cx="4819650" cy="368617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0" anchor="t" upright="1"/>
        <a:lstStyle/>
        <a:p>
          <a:pPr algn="just" rtl="0">
            <a:defRPr sz="1000"/>
          </a:pPr>
          <a:r>
            <a:rPr lang="en-US" sz="1000" b="1" i="0" u="none" strike="noStrike" baseline="0">
              <a:solidFill>
                <a:srgbClr val="000000"/>
              </a:solidFill>
              <a:latin typeface="Arial"/>
              <a:cs typeface="Arial"/>
            </a:rPr>
            <a:t>Instructions:</a:t>
          </a:r>
          <a:endParaRPr lang="en-US" sz="1000" b="0" i="1" u="none" strike="noStrike" baseline="0">
            <a:solidFill>
              <a:srgbClr val="000000"/>
            </a:solidFill>
            <a:latin typeface="Arial"/>
            <a:cs typeface="Arial"/>
          </a:endParaRP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Insert values in highlighted cells.  Risk-free rate, standard deviation and yield can be entered as decimal or percentage (e.g., .052 or 5.2 for 5.2 %).  Select form (discrete or continuous) for risk-free rate.  Black-Scholes values automatically recalculate.  Click on "Run Binomial Option Pricing Model" button to recalculate binomial values.  Input cells have double borders.  Output cells have single borders.  Up to 5,000 time steps can be used in the binomial model.</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Input a continuous dividend yield or up to 0 discrete dividends.  Do  not enter both or the discrete dividends will be ignored.</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This spreadsheet can be used to calculate options on forwards or futures using the Black variation of the Black-Scholes model.  Input the forward or futures price instead of the asset price and input the risk-free rate as both the risk-free rate and the dividend yield.  Do not enter discrete dividends.</a:t>
          </a:r>
        </a:p>
        <a:p>
          <a:pPr algn="just" rtl="0">
            <a:defRPr sz="1000"/>
          </a:pPr>
          <a:endParaRPr lang="en-US" sz="1000" b="0" i="0" u="none" strike="noStrike" baseline="0">
            <a:solidFill>
              <a:srgbClr val="000000"/>
            </a:solidFill>
            <a:latin typeface="Arial"/>
            <a:cs typeface="Arial"/>
          </a:endParaRPr>
        </a:p>
        <a:p>
          <a:pPr algn="just" rtl="0">
            <a:defRPr sz="1000"/>
          </a:pPr>
          <a:r>
            <a:rPr lang="en-US" sz="1000" b="0" i="0" u="none" strike="noStrike" baseline="0">
              <a:solidFill>
                <a:srgbClr val="000000"/>
              </a:solidFill>
              <a:latin typeface="Arial"/>
              <a:cs typeface="Arial"/>
            </a:rPr>
            <a:t>To price foreign currency options, input the spot rate as the asset price, the domestic interest rate as the risk-free rate and the foreign interest rate as the dividend yield.  Do not enter discrete dividends.</a:t>
          </a:r>
        </a:p>
        <a:p>
          <a:pPr algn="just" rtl="0">
            <a:defRPr sz="1000"/>
          </a:pPr>
          <a:endParaRPr lang="en-US"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523876</xdr:colOff>
      <xdr:row>3</xdr:row>
      <xdr:rowOff>19050</xdr:rowOff>
    </xdr:from>
    <xdr:to>
      <xdr:col>7</xdr:col>
      <xdr:colOff>161926</xdr:colOff>
      <xdr:row>15</xdr:row>
      <xdr:rowOff>38100</xdr:rowOff>
    </xdr:to>
    <xdr:sp macro="" textlink="">
      <xdr:nvSpPr>
        <xdr:cNvPr id="3073" name="Text 16"/>
        <xdr:cNvSpPr>
          <a:spLocks noChangeArrowheads="1"/>
        </xdr:cNvSpPr>
      </xdr:nvSpPr>
      <xdr:spPr bwMode="auto">
        <a:xfrm>
          <a:off x="523876" y="504825"/>
          <a:ext cx="3905250" cy="1962150"/>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Written by Don M. Chance and Robert Brooks</a:t>
          </a:r>
        </a:p>
        <a:p>
          <a:pPr algn="l" rtl="0">
            <a:defRPr sz="1000"/>
          </a:pPr>
          <a:r>
            <a:rPr lang="en-US" sz="1000" b="0" i="0" u="none" strike="noStrike" baseline="0">
              <a:solidFill>
                <a:srgbClr val="000000"/>
              </a:solidFill>
              <a:latin typeface="Arial"/>
              <a:cs typeface="Arial"/>
            </a:rPr>
            <a:t>For use with </a:t>
          </a:r>
          <a:r>
            <a:rPr lang="en-US" sz="1000" b="0" i="1" u="none" strike="noStrike" baseline="0">
              <a:solidFill>
                <a:srgbClr val="000000"/>
              </a:solidFill>
              <a:latin typeface="Arial"/>
              <a:cs typeface="Arial"/>
            </a:rPr>
            <a:t>An Introduction to Derivatives and Risk Management, 10</a:t>
          </a:r>
          <a:r>
            <a:rPr lang="en-US" sz="1000" b="0" i="1" u="none" strike="noStrike" baseline="30000">
              <a:solidFill>
                <a:srgbClr val="000000"/>
              </a:solidFill>
              <a:latin typeface="Arial"/>
              <a:cs typeface="Arial"/>
            </a:rPr>
            <a:t>th </a:t>
          </a:r>
          <a:r>
            <a:rPr lang="en-US" sz="1000" b="0" i="1" u="none" strike="noStrike" baseline="0">
              <a:solidFill>
                <a:srgbClr val="000000"/>
              </a:solidFill>
              <a:latin typeface="Arial"/>
              <a:cs typeface="Arial"/>
            </a:rPr>
            <a:t>ed.</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(Mason, Ohio:  Cengage, 2015)</a:t>
          </a:r>
        </a:p>
        <a:p>
          <a:pPr algn="l" rtl="0">
            <a:defRPr sz="1000"/>
          </a:pPr>
          <a:r>
            <a:rPr lang="en-US" sz="1000" b="0" i="0" u="none" strike="noStrike" baseline="0">
              <a:solidFill>
                <a:srgbClr val="000000"/>
              </a:solidFill>
              <a:latin typeface="Arial"/>
              <a:cs typeface="Arial"/>
            </a:rPr>
            <a:t>Date:  7/09</a:t>
          </a:r>
        </a:p>
        <a:p>
          <a:pPr algn="l" rtl="0">
            <a:defRPr sz="1000"/>
          </a:pPr>
          <a:r>
            <a:rPr lang="en-US" sz="1000" b="0" i="0" u="none" strike="noStrike" baseline="0">
              <a:solidFill>
                <a:srgbClr val="000000"/>
              </a:solidFill>
              <a:latin typeface="Arial"/>
              <a:cs typeface="Arial"/>
            </a:rPr>
            <a:t>Last updated:  3/18/14</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latin typeface="Arial"/>
              <a:ea typeface="+mn-ea"/>
              <a:cs typeface="Arial"/>
            </a:rPr>
            <a:t>© 2015 Cengage Learning. All Rights Reserved. May not be scanned, copied or duplicated, or posted to a publicly accessible website, in whole or in part.</a:t>
          </a:r>
        </a:p>
        <a:p>
          <a:pPr algn="l" rtl="0">
            <a:defRPr sz="1000"/>
          </a:pPr>
          <a:endParaRPr lang="en-US" sz="100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W139"/>
  <sheetViews>
    <sheetView tabSelected="1" zoomScale="110" zoomScaleNormal="110" workbookViewId="0">
      <selection activeCell="V18" sqref="V18"/>
    </sheetView>
  </sheetViews>
  <sheetFormatPr defaultRowHeight="12.75" x14ac:dyDescent="0.2"/>
  <cols>
    <col min="1" max="1" width="11.28515625" customWidth="1"/>
    <col min="4" max="4" width="14" customWidth="1"/>
    <col min="5" max="5" width="5.42578125" customWidth="1"/>
    <col min="6" max="6" width="13.7109375" customWidth="1"/>
    <col min="7" max="7" width="9.5703125" customWidth="1"/>
    <col min="8" max="8" width="12" customWidth="1"/>
    <col min="9" max="9" width="10.7109375" customWidth="1"/>
    <col min="10" max="11" width="10.140625" customWidth="1"/>
    <col min="12" max="12" width="10.42578125" customWidth="1"/>
  </cols>
  <sheetData>
    <row r="1" spans="1:23" x14ac:dyDescent="0.2">
      <c r="A1" s="39"/>
      <c r="B1" s="39"/>
      <c r="C1" s="39"/>
      <c r="D1" s="39"/>
      <c r="E1" s="39"/>
      <c r="F1" s="39"/>
      <c r="G1" s="39"/>
      <c r="H1" s="39"/>
      <c r="I1" s="39"/>
      <c r="J1" s="39"/>
      <c r="K1" s="39"/>
      <c r="L1" s="40"/>
    </row>
    <row r="2" spans="1:23" x14ac:dyDescent="0.2">
      <c r="A2" s="39"/>
      <c r="B2" s="39"/>
      <c r="C2" s="39"/>
      <c r="D2" s="39"/>
      <c r="E2" s="39"/>
      <c r="F2" s="39"/>
      <c r="G2" s="39"/>
      <c r="H2" s="39"/>
      <c r="I2" s="39"/>
      <c r="J2" s="39"/>
      <c r="K2" s="39"/>
      <c r="L2" s="40"/>
    </row>
    <row r="3" spans="1:23" x14ac:dyDescent="0.2">
      <c r="A3" s="39"/>
      <c r="B3" s="39"/>
      <c r="C3" s="39"/>
      <c r="D3" s="39"/>
      <c r="E3" s="39"/>
      <c r="F3" s="39"/>
      <c r="G3" s="39"/>
      <c r="H3" s="39"/>
      <c r="I3" s="39"/>
      <c r="J3" s="39"/>
      <c r="K3" s="39"/>
      <c r="L3" s="40"/>
    </row>
    <row r="4" spans="1:23" x14ac:dyDescent="0.2">
      <c r="A4" s="39"/>
      <c r="B4" s="39"/>
      <c r="C4" s="39"/>
      <c r="D4" s="39"/>
      <c r="E4" s="39"/>
      <c r="F4" s="39"/>
      <c r="G4" s="39"/>
      <c r="H4" s="39"/>
      <c r="I4" s="39"/>
      <c r="J4" s="39"/>
      <c r="K4" s="39"/>
      <c r="L4" s="40"/>
    </row>
    <row r="5" spans="1:23" x14ac:dyDescent="0.2">
      <c r="A5" s="39"/>
      <c r="B5" s="39"/>
      <c r="C5" s="39"/>
      <c r="D5" s="39"/>
      <c r="E5" s="39"/>
      <c r="F5" s="39"/>
      <c r="G5" s="39"/>
      <c r="H5" s="39"/>
      <c r="I5" s="39"/>
      <c r="J5" s="39"/>
      <c r="K5" s="39"/>
      <c r="L5" s="40"/>
    </row>
    <row r="6" spans="1:23" x14ac:dyDescent="0.2">
      <c r="A6" s="39"/>
      <c r="B6" s="39"/>
      <c r="C6" s="39"/>
      <c r="D6" s="39"/>
      <c r="E6" s="39"/>
      <c r="F6" s="39"/>
      <c r="G6" s="39"/>
      <c r="H6" s="39"/>
      <c r="I6" s="39"/>
      <c r="J6" s="39"/>
      <c r="K6" s="39"/>
      <c r="L6" s="40"/>
    </row>
    <row r="7" spans="1:23" x14ac:dyDescent="0.2">
      <c r="A7" s="41"/>
      <c r="B7" s="41"/>
      <c r="C7" s="41"/>
      <c r="D7" s="41"/>
      <c r="E7" s="41"/>
      <c r="F7" s="41"/>
      <c r="G7" s="41"/>
      <c r="H7" s="41"/>
      <c r="I7" s="41"/>
      <c r="J7" s="41"/>
      <c r="K7" s="41"/>
      <c r="L7" s="40"/>
      <c r="Q7" s="2"/>
      <c r="T7" s="2"/>
      <c r="W7" s="2"/>
    </row>
    <row r="8" spans="1:23" x14ac:dyDescent="0.2">
      <c r="A8" s="42"/>
      <c r="B8" s="42"/>
      <c r="C8" s="42"/>
      <c r="D8" s="42"/>
      <c r="E8" s="42"/>
      <c r="F8" s="42"/>
      <c r="G8" s="42"/>
      <c r="H8" s="42"/>
      <c r="I8" s="42"/>
      <c r="J8" s="42"/>
      <c r="K8" s="42"/>
      <c r="L8" s="43"/>
      <c r="Q8" s="2"/>
    </row>
    <row r="9" spans="1:23" ht="12.75" customHeight="1" x14ac:dyDescent="0.2">
      <c r="A9" s="3"/>
      <c r="B9" s="3"/>
      <c r="C9" s="3"/>
      <c r="D9" s="3"/>
      <c r="E9" s="3"/>
      <c r="F9" s="3"/>
      <c r="G9" s="3"/>
      <c r="H9" s="3"/>
      <c r="I9" s="3"/>
      <c r="J9" s="3"/>
      <c r="K9" s="3"/>
      <c r="L9" s="4"/>
    </row>
    <row r="10" spans="1:23" ht="17.25" customHeight="1" thickBot="1" x14ac:dyDescent="0.3">
      <c r="A10" s="5" t="s">
        <v>0</v>
      </c>
      <c r="B10" s="3"/>
      <c r="C10" s="3"/>
      <c r="D10" s="3"/>
      <c r="E10" s="3"/>
      <c r="F10" s="5" t="s">
        <v>36</v>
      </c>
      <c r="G10" s="3"/>
      <c r="H10" s="3"/>
      <c r="I10" s="6" t="s">
        <v>16</v>
      </c>
      <c r="J10" s="3"/>
      <c r="K10" s="3"/>
      <c r="L10" s="4"/>
    </row>
    <row r="11" spans="1:23" ht="16.5" customHeight="1" thickTop="1" thickBot="1" x14ac:dyDescent="0.35">
      <c r="A11" s="3" t="s">
        <v>31</v>
      </c>
      <c r="B11" s="7"/>
      <c r="C11" s="8">
        <v>100</v>
      </c>
      <c r="D11" s="9"/>
      <c r="E11" s="3"/>
      <c r="F11" s="3"/>
      <c r="G11" s="10" t="s">
        <v>1</v>
      </c>
      <c r="H11" s="10" t="s">
        <v>1</v>
      </c>
      <c r="I11" s="11" t="s">
        <v>17</v>
      </c>
      <c r="J11" s="12">
        <v>100</v>
      </c>
      <c r="K11" s="3"/>
      <c r="L11" s="4"/>
    </row>
    <row r="12" spans="1:23" ht="12.75" customHeight="1" thickTop="1" x14ac:dyDescent="0.2">
      <c r="A12" s="3" t="s">
        <v>32</v>
      </c>
      <c r="B12" s="3"/>
      <c r="C12" s="13">
        <v>100</v>
      </c>
      <c r="D12" s="9"/>
      <c r="E12" s="3"/>
      <c r="F12" s="3"/>
      <c r="G12" s="14" t="s">
        <v>2</v>
      </c>
      <c r="H12" s="14" t="s">
        <v>3</v>
      </c>
      <c r="I12" s="3"/>
      <c r="J12" s="10" t="s">
        <v>1</v>
      </c>
      <c r="K12" s="10" t="s">
        <v>1</v>
      </c>
      <c r="L12" s="4"/>
    </row>
    <row r="13" spans="1:23" ht="14.25" customHeight="1" x14ac:dyDescent="0.2">
      <c r="A13" s="3" t="s">
        <v>6</v>
      </c>
      <c r="B13" s="3"/>
      <c r="C13" s="15">
        <v>1</v>
      </c>
      <c r="D13" s="16"/>
      <c r="E13" s="3"/>
      <c r="F13" s="17" t="s">
        <v>4</v>
      </c>
      <c r="G13" s="18">
        <f>BlackScholesMerton(S,X,rf,t,sigma,yield,trfr,pvdisdiv,"ecprice")</f>
        <v>14.231254785985819</v>
      </c>
      <c r="H13" s="18">
        <f>BlackScholesMerton(S,X,rf,t,sigma,yield,trfr,pvdisdiv,"epprice")</f>
        <v>9.3541972360572245</v>
      </c>
      <c r="I13" s="3"/>
      <c r="J13" s="10" t="s">
        <v>2</v>
      </c>
      <c r="K13" s="14" t="s">
        <v>3</v>
      </c>
      <c r="L13" s="4"/>
    </row>
    <row r="14" spans="1:23" ht="15.75" customHeight="1" x14ac:dyDescent="0.2">
      <c r="A14" s="3" t="s">
        <v>9</v>
      </c>
      <c r="B14" s="19"/>
      <c r="C14" s="20">
        <v>0.3</v>
      </c>
      <c r="D14" s="21"/>
      <c r="E14" s="3"/>
      <c r="F14" s="17" t="s">
        <v>7</v>
      </c>
      <c r="G14" s="18">
        <f>BlackScholesMerton(S,X,rf,t,sigma,yield,trfr,pvdisdiv,"ecdelta")</f>
        <v>0.62425172790601247</v>
      </c>
      <c r="H14" s="18">
        <f>BlackScholesMerton(S,X,rf,t,sigma,yield,trfr,pvdisdiv,"epdelta")</f>
        <v>-0.37574827209398753</v>
      </c>
      <c r="I14" s="17" t="s">
        <v>18</v>
      </c>
      <c r="J14" s="18">
        <v>13.552268284227669</v>
      </c>
      <c r="K14" s="18">
        <v>12.078820757014785</v>
      </c>
      <c r="L14" s="4"/>
    </row>
    <row r="15" spans="1:23" ht="14.25" customHeight="1" x14ac:dyDescent="0.3">
      <c r="A15" s="3" t="s">
        <v>28</v>
      </c>
      <c r="B15" s="7"/>
      <c r="C15" s="22">
        <v>0.05</v>
      </c>
      <c r="D15" s="21"/>
      <c r="E15" s="3"/>
      <c r="F15" s="17" t="s">
        <v>10</v>
      </c>
      <c r="G15" s="18">
        <f>BlackScholesMerton(S,X,rf,t,sigma,yield,trfr,pvdisdiv,"ecgamma")</f>
        <v>1.264776443741226E-2</v>
      </c>
      <c r="H15" s="18">
        <f>BlackScholesMerton(S,X,rf,t,sigma,yield,trfr,pvdisdiv,"epgamma")</f>
        <v>1.264776443741226E-2</v>
      </c>
      <c r="I15" s="17" t="s">
        <v>7</v>
      </c>
      <c r="J15" s="18">
        <v>0.57001664251915463</v>
      </c>
      <c r="K15" s="18">
        <v>-0.42998335748083927</v>
      </c>
      <c r="L15" s="4"/>
    </row>
    <row r="16" spans="1:23" ht="15" customHeight="1" thickBot="1" x14ac:dyDescent="0.25">
      <c r="A16" s="3" t="s">
        <v>12</v>
      </c>
      <c r="B16" s="17"/>
      <c r="C16" s="23">
        <v>0</v>
      </c>
      <c r="D16" s="17"/>
      <c r="E16" s="3"/>
      <c r="F16" s="17" t="s">
        <v>13</v>
      </c>
      <c r="G16" s="18">
        <f>BlackScholesMerton(S,X,rf,t,sigma,yield,trfr,pvdisdiv,"ectheta")</f>
        <v>-8.1011898970662894</v>
      </c>
      <c r="H16" s="18">
        <f>BlackScholesMerton(S,X,rf,t,sigma,yield,trfr,pvdisdiv,"eptheta")</f>
        <v>-3.3450427745627187</v>
      </c>
      <c r="I16" s="17" t="s">
        <v>10</v>
      </c>
      <c r="J16" s="18">
        <v>1.2073539376257806E-2</v>
      </c>
      <c r="K16" s="18">
        <v>1.2073539376257806E-2</v>
      </c>
      <c r="L16" s="4"/>
    </row>
    <row r="17" spans="1:15" ht="15" customHeight="1" thickTop="1" x14ac:dyDescent="0.25">
      <c r="A17" s="3" t="s">
        <v>34</v>
      </c>
      <c r="B17" s="19"/>
      <c r="C17" s="3"/>
      <c r="D17" s="21"/>
      <c r="E17" s="3"/>
      <c r="F17" s="17" t="s">
        <v>15</v>
      </c>
      <c r="G17" s="18">
        <f>BlackScholesMerton(S,X,rf,t,sigma,yield,trfr,pvdisdiv,"ecvega")</f>
        <v>37.943293312236783</v>
      </c>
      <c r="H17" s="18">
        <f>BlackScholesMerton(S,X,rf,t,sigma,yield,trfr,pvdisdiv,"epvega")</f>
        <v>37.943293312236783</v>
      </c>
      <c r="I17" s="17" t="s">
        <v>13</v>
      </c>
      <c r="J17" s="18">
        <v>-68.915512783799997</v>
      </c>
      <c r="K17" s="18">
        <v>-63.364304536746992</v>
      </c>
      <c r="L17" s="4"/>
    </row>
    <row r="18" spans="1:15" ht="12.75" customHeight="1" x14ac:dyDescent="0.2">
      <c r="A18" s="3"/>
      <c r="B18" s="3"/>
      <c r="C18" s="3"/>
      <c r="D18" s="3"/>
      <c r="E18" s="3"/>
      <c r="F18" s="17" t="s">
        <v>35</v>
      </c>
      <c r="G18" s="18">
        <f>BlackScholesMerton(S,X,rf,t,sigma,yield,trfr,pvdisdiv,"ecrho")</f>
        <v>48.193918004615426</v>
      </c>
      <c r="H18" s="18">
        <f>BlackScholesMerton(S,X,rf,t,sigma,yield,trfr,pvdisdiv,"eprho")</f>
        <v>-46.92902444545598</v>
      </c>
      <c r="I18" s="3"/>
      <c r="J18" s="24" t="s">
        <v>30</v>
      </c>
      <c r="K18" s="25" t="s">
        <v>33</v>
      </c>
      <c r="L18" s="4"/>
    </row>
    <row r="19" spans="1:15" ht="12.75" customHeight="1" x14ac:dyDescent="0.2">
      <c r="A19" s="3"/>
      <c r="B19" s="3"/>
      <c r="C19" s="3"/>
      <c r="D19" s="3"/>
      <c r="E19" s="3"/>
      <c r="F19" s="9"/>
      <c r="G19" s="9"/>
      <c r="H19" s="9"/>
      <c r="I19" s="3"/>
      <c r="J19" s="10" t="s">
        <v>2</v>
      </c>
      <c r="K19" s="25" t="s">
        <v>3</v>
      </c>
      <c r="L19" s="4"/>
    </row>
    <row r="20" spans="1:15" ht="17.25" customHeight="1" x14ac:dyDescent="0.3">
      <c r="A20" s="3"/>
      <c r="B20" s="3"/>
      <c r="C20" s="3"/>
      <c r="D20" s="3"/>
      <c r="E20" s="3"/>
      <c r="F20" s="26" t="s">
        <v>5</v>
      </c>
      <c r="G20" s="18">
        <f>BlackScholesMerton(S,X,rf,t,sigma,yield,trfr,pvdisdiv,"eod1")</f>
        <v>0.31666666666666671</v>
      </c>
      <c r="H20" s="9"/>
      <c r="I20" s="17" t="s">
        <v>18</v>
      </c>
      <c r="J20" s="18">
        <v>13.552268284227669</v>
      </c>
      <c r="K20" s="18">
        <v>12.11212915300821</v>
      </c>
      <c r="L20" s="4"/>
    </row>
    <row r="21" spans="1:15" ht="15" customHeight="1" x14ac:dyDescent="0.3">
      <c r="A21" s="3"/>
      <c r="B21" s="3"/>
      <c r="C21" s="3"/>
      <c r="D21" s="3"/>
      <c r="E21" s="3"/>
      <c r="F21" s="26" t="s">
        <v>8</v>
      </c>
      <c r="G21" s="18">
        <f>BlackScholesMerton(S,X,rf,t,sigma,yield,trfr,pvdisdiv,"eod2")</f>
        <v>1.6666666666666718E-2</v>
      </c>
      <c r="H21" s="9"/>
      <c r="I21" s="17" t="s">
        <v>7</v>
      </c>
      <c r="J21" s="18">
        <v>0.57001664251915463</v>
      </c>
      <c r="K21" s="18">
        <v>-0.43162332164854794</v>
      </c>
      <c r="L21" s="4"/>
    </row>
    <row r="22" spans="1:15" ht="16.5" customHeight="1" x14ac:dyDescent="0.3">
      <c r="A22" s="3"/>
      <c r="B22" s="3"/>
      <c r="C22" s="3"/>
      <c r="D22" s="3"/>
      <c r="E22" s="3"/>
      <c r="F22" s="26" t="s">
        <v>11</v>
      </c>
      <c r="G22" s="18">
        <f>BlackScholesMerton(S,X,rf,t,sigma,yield,trfr,pvdisdiv,"eond1")</f>
        <v>0.62425172790601247</v>
      </c>
      <c r="H22" s="9"/>
      <c r="I22" s="17" t="s">
        <v>10</v>
      </c>
      <c r="J22" s="18">
        <v>1.2073539376257806E-2</v>
      </c>
      <c r="K22" s="18">
        <v>1.2149801548607189E-2</v>
      </c>
      <c r="L22" s="4"/>
      <c r="O22" s="1"/>
    </row>
    <row r="23" spans="1:15" ht="14.25" customHeight="1" x14ac:dyDescent="0.3">
      <c r="A23" s="3"/>
      <c r="B23" s="3"/>
      <c r="C23" s="3"/>
      <c r="D23" s="3"/>
      <c r="E23" s="3"/>
      <c r="F23" s="26" t="s">
        <v>14</v>
      </c>
      <c r="G23" s="18">
        <f>BlackScholesMerton(S,X,rf,t,sigma,yield,trfr,pvdisdiv,"eond2")</f>
        <v>0.50664873019368262</v>
      </c>
      <c r="H23" s="9"/>
      <c r="I23" s="17" t="s">
        <v>13</v>
      </c>
      <c r="J23" s="18">
        <v>-68.915512783799997</v>
      </c>
      <c r="K23" s="18">
        <v>-63.76939275718555</v>
      </c>
      <c r="L23" s="4"/>
    </row>
    <row r="24" spans="1:15" ht="12.75" customHeight="1" x14ac:dyDescent="0.2">
      <c r="A24" s="3"/>
      <c r="B24" s="3"/>
      <c r="C24" s="3"/>
      <c r="D24" s="3"/>
      <c r="E24" s="3"/>
      <c r="F24" s="26" t="s">
        <v>37</v>
      </c>
      <c r="G24" s="18">
        <f>D128</f>
        <v>0</v>
      </c>
      <c r="H24" s="3"/>
      <c r="I24" s="3"/>
      <c r="J24" s="3"/>
      <c r="K24" s="3"/>
      <c r="L24" s="4"/>
    </row>
    <row r="25" spans="1:15" ht="12.75" customHeight="1" x14ac:dyDescent="0.2">
      <c r="A25" s="3"/>
      <c r="B25" s="3"/>
      <c r="C25" s="3"/>
      <c r="D25" s="3"/>
      <c r="E25" s="3"/>
      <c r="F25" s="26" t="s">
        <v>38</v>
      </c>
      <c r="G25" s="18">
        <f>X*EXP(-rf*t)</f>
        <v>95.122942450071406</v>
      </c>
      <c r="H25" s="3"/>
      <c r="I25" s="3"/>
      <c r="J25" s="3"/>
      <c r="K25" s="3"/>
      <c r="L25" s="4"/>
      <c r="O25" s="1"/>
    </row>
    <row r="26" spans="1:15" ht="12.75" customHeight="1" thickBot="1" x14ac:dyDescent="0.25">
      <c r="A26" s="27" t="s">
        <v>19</v>
      </c>
      <c r="B26" s="28" t="s">
        <v>20</v>
      </c>
      <c r="C26" s="28" t="s">
        <v>21</v>
      </c>
      <c r="D26" s="28" t="s">
        <v>22</v>
      </c>
      <c r="E26" s="3"/>
      <c r="F26" s="29" t="s">
        <v>39</v>
      </c>
      <c r="G26" s="18">
        <f>S*EXP(-yield*t)-G24</f>
        <v>100</v>
      </c>
      <c r="H26" s="3"/>
      <c r="I26" s="3"/>
      <c r="J26" s="3"/>
      <c r="K26" s="3"/>
      <c r="L26" s="4"/>
    </row>
    <row r="27" spans="1:15" ht="12.75" customHeight="1" thickTop="1" thickBot="1" x14ac:dyDescent="0.25">
      <c r="A27" s="30">
        <v>1</v>
      </c>
      <c r="B27" s="31"/>
      <c r="C27" s="31"/>
      <c r="D27" s="32">
        <f t="shared" ref="D27:D58" si="0">EXP(-rf*C27)*B27</f>
        <v>0</v>
      </c>
      <c r="E27" s="3"/>
      <c r="F27" s="3"/>
      <c r="G27" s="3"/>
      <c r="H27" s="3"/>
      <c r="I27" s="3"/>
      <c r="J27" s="3"/>
      <c r="K27" s="3"/>
      <c r="L27" s="4"/>
    </row>
    <row r="28" spans="1:15" ht="12.75" customHeight="1" thickTop="1" thickBot="1" x14ac:dyDescent="0.25">
      <c r="A28" s="30">
        <v>2</v>
      </c>
      <c r="B28" s="31"/>
      <c r="C28" s="31"/>
      <c r="D28" s="32">
        <f t="shared" si="0"/>
        <v>0</v>
      </c>
      <c r="E28" s="3"/>
      <c r="F28" s="3"/>
      <c r="G28" s="3"/>
      <c r="H28" s="3"/>
      <c r="I28" s="3"/>
      <c r="J28" s="3"/>
      <c r="K28" s="3"/>
      <c r="L28" s="4"/>
    </row>
    <row r="29" spans="1:15" ht="12.75" customHeight="1" thickTop="1" thickBot="1" x14ac:dyDescent="0.25">
      <c r="A29" s="30">
        <v>3</v>
      </c>
      <c r="B29" s="31"/>
      <c r="C29" s="31"/>
      <c r="D29" s="32">
        <f t="shared" si="0"/>
        <v>0</v>
      </c>
      <c r="E29" s="3"/>
      <c r="F29" s="3"/>
      <c r="G29" s="3"/>
      <c r="H29" s="3"/>
      <c r="I29" s="3"/>
      <c r="J29" s="3"/>
      <c r="K29" s="3"/>
      <c r="L29" s="4"/>
    </row>
    <row r="30" spans="1:15" ht="12.75" customHeight="1" thickTop="1" thickBot="1" x14ac:dyDescent="0.25">
      <c r="A30" s="30">
        <v>4</v>
      </c>
      <c r="B30" s="31"/>
      <c r="C30" s="31"/>
      <c r="D30" s="32">
        <f t="shared" si="0"/>
        <v>0</v>
      </c>
      <c r="E30" s="3"/>
      <c r="F30" s="3"/>
      <c r="G30" s="3"/>
      <c r="H30" s="3"/>
      <c r="I30" s="3"/>
      <c r="J30" s="3"/>
      <c r="K30" s="3"/>
      <c r="L30" s="4"/>
    </row>
    <row r="31" spans="1:15" ht="12.75" customHeight="1" thickTop="1" thickBot="1" x14ac:dyDescent="0.25">
      <c r="A31" s="30">
        <v>5</v>
      </c>
      <c r="B31" s="31"/>
      <c r="C31" s="31"/>
      <c r="D31" s="32">
        <f t="shared" si="0"/>
        <v>0</v>
      </c>
      <c r="E31" s="3"/>
      <c r="F31" s="3"/>
      <c r="G31" s="3"/>
      <c r="H31" s="3"/>
      <c r="I31" s="3"/>
      <c r="J31" s="3"/>
      <c r="K31" s="3"/>
      <c r="L31" s="4"/>
    </row>
    <row r="32" spans="1:15" ht="12.75" customHeight="1" thickTop="1" thickBot="1" x14ac:dyDescent="0.25">
      <c r="A32" s="30">
        <v>6</v>
      </c>
      <c r="B32" s="31"/>
      <c r="C32" s="31"/>
      <c r="D32" s="32">
        <f t="shared" si="0"/>
        <v>0</v>
      </c>
      <c r="E32" s="3"/>
      <c r="F32" s="3"/>
      <c r="G32" s="3"/>
      <c r="H32" s="3"/>
      <c r="I32" s="3"/>
      <c r="J32" s="3"/>
      <c r="K32" s="3"/>
      <c r="L32" s="4"/>
    </row>
    <row r="33" spans="1:12" ht="12.75" customHeight="1" thickTop="1" thickBot="1" x14ac:dyDescent="0.25">
      <c r="A33" s="30">
        <v>7</v>
      </c>
      <c r="B33" s="31"/>
      <c r="C33" s="31"/>
      <c r="D33" s="32">
        <f t="shared" si="0"/>
        <v>0</v>
      </c>
      <c r="E33" s="3"/>
      <c r="F33" s="3"/>
      <c r="G33" s="3"/>
      <c r="H33" s="3"/>
      <c r="I33" s="3"/>
      <c r="J33" s="3"/>
      <c r="K33" s="3"/>
      <c r="L33" s="4"/>
    </row>
    <row r="34" spans="1:12" ht="12.75" customHeight="1" thickTop="1" thickBot="1" x14ac:dyDescent="0.25">
      <c r="A34" s="30">
        <v>8</v>
      </c>
      <c r="B34" s="31"/>
      <c r="C34" s="31"/>
      <c r="D34" s="32">
        <f t="shared" si="0"/>
        <v>0</v>
      </c>
      <c r="E34" s="3"/>
      <c r="F34" s="3"/>
      <c r="G34" s="3"/>
      <c r="H34" s="3"/>
      <c r="I34" s="3"/>
      <c r="J34" s="3"/>
      <c r="K34" s="3"/>
      <c r="L34" s="4"/>
    </row>
    <row r="35" spans="1:12" ht="12.75" customHeight="1" thickTop="1" thickBot="1" x14ac:dyDescent="0.25">
      <c r="A35" s="30">
        <v>9</v>
      </c>
      <c r="B35" s="31"/>
      <c r="C35" s="31"/>
      <c r="D35" s="32">
        <f t="shared" si="0"/>
        <v>0</v>
      </c>
      <c r="E35" s="3"/>
      <c r="F35" s="33"/>
      <c r="G35" s="3"/>
      <c r="H35" s="3"/>
      <c r="I35" s="3"/>
      <c r="J35" s="3"/>
      <c r="K35" s="3"/>
      <c r="L35" s="4"/>
    </row>
    <row r="36" spans="1:12" ht="12.75" customHeight="1" thickTop="1" thickBot="1" x14ac:dyDescent="0.25">
      <c r="A36" s="30">
        <v>10</v>
      </c>
      <c r="B36" s="31"/>
      <c r="C36" s="31"/>
      <c r="D36" s="32">
        <f t="shared" si="0"/>
        <v>0</v>
      </c>
      <c r="E36" s="3"/>
      <c r="F36" s="17"/>
      <c r="G36" s="3"/>
      <c r="H36" s="3"/>
      <c r="I36" s="3"/>
      <c r="J36" s="3"/>
      <c r="K36" s="3"/>
      <c r="L36" s="4"/>
    </row>
    <row r="37" spans="1:12" ht="12.75" customHeight="1" thickTop="1" thickBot="1" x14ac:dyDescent="0.25">
      <c r="A37" s="30">
        <v>11</v>
      </c>
      <c r="B37" s="31"/>
      <c r="C37" s="31"/>
      <c r="D37" s="32">
        <f t="shared" si="0"/>
        <v>0</v>
      </c>
      <c r="E37" s="3"/>
      <c r="F37" s="3"/>
      <c r="G37" s="17"/>
      <c r="H37" s="17"/>
      <c r="I37" s="3"/>
      <c r="J37" s="3"/>
      <c r="K37" s="3"/>
      <c r="L37" s="4"/>
    </row>
    <row r="38" spans="1:12" ht="12.75" customHeight="1" thickTop="1" thickBot="1" x14ac:dyDescent="0.25">
      <c r="A38" s="30">
        <v>12</v>
      </c>
      <c r="B38" s="31"/>
      <c r="C38" s="31"/>
      <c r="D38" s="32">
        <f t="shared" si="0"/>
        <v>0</v>
      </c>
      <c r="E38" s="3"/>
      <c r="F38" s="17"/>
      <c r="G38" s="17"/>
      <c r="H38" s="17"/>
      <c r="I38" s="3"/>
      <c r="J38" s="3"/>
      <c r="K38" s="3"/>
      <c r="L38" s="4"/>
    </row>
    <row r="39" spans="1:12" ht="12.75" customHeight="1" thickTop="1" thickBot="1" x14ac:dyDescent="0.25">
      <c r="A39" s="30">
        <v>13</v>
      </c>
      <c r="B39" s="31"/>
      <c r="C39" s="31"/>
      <c r="D39" s="32">
        <f t="shared" si="0"/>
        <v>0</v>
      </c>
      <c r="E39" s="3"/>
      <c r="F39" s="3"/>
      <c r="G39" s="3"/>
      <c r="H39" s="3" t="s">
        <v>23</v>
      </c>
      <c r="I39" s="3"/>
      <c r="J39" s="3"/>
      <c r="K39" s="3"/>
      <c r="L39" s="4"/>
    </row>
    <row r="40" spans="1:12" ht="12.75" customHeight="1" thickTop="1" thickBot="1" x14ac:dyDescent="0.25">
      <c r="A40" s="30">
        <v>14</v>
      </c>
      <c r="B40" s="31"/>
      <c r="C40" s="31"/>
      <c r="D40" s="32">
        <f t="shared" si="0"/>
        <v>0</v>
      </c>
      <c r="E40" s="3"/>
      <c r="F40" s="3"/>
      <c r="G40" s="3"/>
      <c r="H40" s="3"/>
      <c r="I40" s="3"/>
      <c r="J40" s="3"/>
      <c r="K40" s="3"/>
      <c r="L40" s="4"/>
    </row>
    <row r="41" spans="1:12" ht="12.75" customHeight="1" thickTop="1" thickBot="1" x14ac:dyDescent="0.25">
      <c r="A41" s="30">
        <v>15</v>
      </c>
      <c r="B41" s="31"/>
      <c r="C41" s="31"/>
      <c r="D41" s="32">
        <f t="shared" si="0"/>
        <v>0</v>
      </c>
      <c r="E41" s="3"/>
      <c r="F41" s="3"/>
      <c r="G41" s="3"/>
      <c r="H41" s="3"/>
      <c r="I41" s="3"/>
      <c r="J41" s="3"/>
      <c r="K41" s="3"/>
      <c r="L41" s="4"/>
    </row>
    <row r="42" spans="1:12" ht="12.75" customHeight="1" thickTop="1" thickBot="1" x14ac:dyDescent="0.25">
      <c r="A42" s="30">
        <v>16</v>
      </c>
      <c r="B42" s="31"/>
      <c r="C42" s="31"/>
      <c r="D42" s="32">
        <f t="shared" si="0"/>
        <v>0</v>
      </c>
      <c r="E42" s="3"/>
      <c r="F42" s="3"/>
      <c r="G42" s="3"/>
      <c r="H42" s="3"/>
      <c r="I42" s="3"/>
      <c r="J42" s="3"/>
      <c r="K42" s="3"/>
      <c r="L42" s="4"/>
    </row>
    <row r="43" spans="1:12" ht="12.75" customHeight="1" thickTop="1" thickBot="1" x14ac:dyDescent="0.25">
      <c r="A43" s="30">
        <v>17</v>
      </c>
      <c r="B43" s="31"/>
      <c r="C43" s="31"/>
      <c r="D43" s="32">
        <f t="shared" si="0"/>
        <v>0</v>
      </c>
      <c r="E43" s="3"/>
      <c r="F43" s="3"/>
      <c r="G43" s="3"/>
      <c r="H43" s="3"/>
      <c r="I43" s="3"/>
      <c r="J43" s="3"/>
      <c r="K43" s="3"/>
      <c r="L43" s="4"/>
    </row>
    <row r="44" spans="1:12" ht="12.75" customHeight="1" thickTop="1" thickBot="1" x14ac:dyDescent="0.25">
      <c r="A44" s="30">
        <v>18</v>
      </c>
      <c r="B44" s="31"/>
      <c r="C44" s="31"/>
      <c r="D44" s="32">
        <f t="shared" si="0"/>
        <v>0</v>
      </c>
      <c r="E44" s="3"/>
      <c r="F44" s="3"/>
      <c r="G44" s="3"/>
      <c r="H44" s="3"/>
      <c r="I44" s="3"/>
      <c r="J44" s="3"/>
      <c r="K44" s="3"/>
      <c r="L44" s="4"/>
    </row>
    <row r="45" spans="1:12" ht="12.75" customHeight="1" thickTop="1" thickBot="1" x14ac:dyDescent="0.25">
      <c r="A45" s="30">
        <v>19</v>
      </c>
      <c r="B45" s="31"/>
      <c r="C45" s="31"/>
      <c r="D45" s="32">
        <f t="shared" si="0"/>
        <v>0</v>
      </c>
      <c r="E45" s="3"/>
      <c r="F45" s="3"/>
      <c r="G45" s="3"/>
      <c r="H45" s="3"/>
      <c r="I45" s="3"/>
      <c r="J45" s="3"/>
      <c r="K45" s="3"/>
      <c r="L45" s="4"/>
    </row>
    <row r="46" spans="1:12" ht="12.75" customHeight="1" thickTop="1" thickBot="1" x14ac:dyDescent="0.25">
      <c r="A46" s="30">
        <v>20</v>
      </c>
      <c r="B46" s="31"/>
      <c r="C46" s="31"/>
      <c r="D46" s="32">
        <f t="shared" si="0"/>
        <v>0</v>
      </c>
      <c r="E46" s="3"/>
      <c r="F46" s="3"/>
      <c r="G46" s="3"/>
      <c r="H46" s="3"/>
      <c r="I46" s="3"/>
      <c r="J46" s="3"/>
      <c r="K46" s="3"/>
      <c r="L46" s="4"/>
    </row>
    <row r="47" spans="1:12" ht="12.75" customHeight="1" thickTop="1" thickBot="1" x14ac:dyDescent="0.25">
      <c r="A47" s="30">
        <v>21</v>
      </c>
      <c r="B47" s="31"/>
      <c r="C47" s="31"/>
      <c r="D47" s="32">
        <f t="shared" si="0"/>
        <v>0</v>
      </c>
      <c r="E47" s="3"/>
      <c r="F47" s="3"/>
      <c r="G47" s="3"/>
      <c r="H47" s="3"/>
      <c r="I47" s="3"/>
      <c r="J47" s="3"/>
      <c r="K47" s="3"/>
      <c r="L47" s="4"/>
    </row>
    <row r="48" spans="1:12" ht="12.75" customHeight="1" thickTop="1" thickBot="1" x14ac:dyDescent="0.25">
      <c r="A48" s="30">
        <v>22</v>
      </c>
      <c r="B48" s="31"/>
      <c r="C48" s="31"/>
      <c r="D48" s="32">
        <f t="shared" si="0"/>
        <v>0</v>
      </c>
      <c r="E48" s="3"/>
      <c r="F48" s="3"/>
      <c r="G48" s="3"/>
      <c r="H48" s="3"/>
      <c r="I48" s="3"/>
      <c r="J48" s="3"/>
      <c r="K48" s="3"/>
      <c r="L48" s="4"/>
    </row>
    <row r="49" spans="1:12" ht="12.75" customHeight="1" thickTop="1" thickBot="1" x14ac:dyDescent="0.25">
      <c r="A49" s="30">
        <v>23</v>
      </c>
      <c r="B49" s="31"/>
      <c r="C49" s="31"/>
      <c r="D49" s="32">
        <f t="shared" si="0"/>
        <v>0</v>
      </c>
      <c r="E49" s="3"/>
      <c r="F49" s="3"/>
      <c r="G49" s="3"/>
      <c r="H49" s="3"/>
      <c r="I49" s="3"/>
      <c r="J49" s="3"/>
      <c r="K49" s="3"/>
      <c r="L49" s="4"/>
    </row>
    <row r="50" spans="1:12" ht="12.75" customHeight="1" thickTop="1" thickBot="1" x14ac:dyDescent="0.25">
      <c r="A50" s="30">
        <v>24</v>
      </c>
      <c r="B50" s="31"/>
      <c r="C50" s="31"/>
      <c r="D50" s="32">
        <f t="shared" si="0"/>
        <v>0</v>
      </c>
      <c r="E50" s="3"/>
      <c r="F50" s="3"/>
      <c r="G50" s="3"/>
      <c r="H50" s="3"/>
      <c r="I50" s="3"/>
      <c r="J50" s="3"/>
      <c r="K50" s="3"/>
      <c r="L50" s="4"/>
    </row>
    <row r="51" spans="1:12" ht="12.75" customHeight="1" thickTop="1" thickBot="1" x14ac:dyDescent="0.25">
      <c r="A51" s="30">
        <v>25</v>
      </c>
      <c r="B51" s="31"/>
      <c r="C51" s="31"/>
      <c r="D51" s="32">
        <f t="shared" si="0"/>
        <v>0</v>
      </c>
      <c r="E51" s="3"/>
      <c r="F51" s="3"/>
      <c r="G51" s="3"/>
      <c r="H51" s="3"/>
      <c r="I51" s="3"/>
      <c r="J51" s="3"/>
      <c r="K51" s="3"/>
      <c r="L51" s="4"/>
    </row>
    <row r="52" spans="1:12" ht="12.75" customHeight="1" thickTop="1" thickBot="1" x14ac:dyDescent="0.25">
      <c r="A52" s="30">
        <v>26</v>
      </c>
      <c r="B52" s="31"/>
      <c r="C52" s="31"/>
      <c r="D52" s="32">
        <f t="shared" si="0"/>
        <v>0</v>
      </c>
      <c r="E52" s="3"/>
      <c r="F52" s="3"/>
      <c r="G52" s="3"/>
      <c r="H52" s="3"/>
      <c r="I52" s="3"/>
      <c r="J52" s="3"/>
      <c r="K52" s="3"/>
      <c r="L52" s="4"/>
    </row>
    <row r="53" spans="1:12" ht="12.75" customHeight="1" thickTop="1" thickBot="1" x14ac:dyDescent="0.25">
      <c r="A53" s="30">
        <v>27</v>
      </c>
      <c r="B53" s="31"/>
      <c r="C53" s="31"/>
      <c r="D53" s="32">
        <f t="shared" si="0"/>
        <v>0</v>
      </c>
      <c r="E53" s="3"/>
      <c r="F53" s="3"/>
      <c r="G53" s="3"/>
      <c r="H53" s="3"/>
      <c r="I53" s="3"/>
      <c r="J53" s="3"/>
      <c r="K53" s="3"/>
      <c r="L53" s="4"/>
    </row>
    <row r="54" spans="1:12" ht="12.75" customHeight="1" thickTop="1" thickBot="1" x14ac:dyDescent="0.25">
      <c r="A54" s="30">
        <v>28</v>
      </c>
      <c r="B54" s="31"/>
      <c r="C54" s="31"/>
      <c r="D54" s="32">
        <f t="shared" si="0"/>
        <v>0</v>
      </c>
      <c r="E54" s="3"/>
      <c r="F54" s="3"/>
      <c r="G54" s="3"/>
      <c r="H54" s="3"/>
      <c r="I54" s="3"/>
      <c r="J54" s="3"/>
      <c r="K54" s="3"/>
      <c r="L54" s="4"/>
    </row>
    <row r="55" spans="1:12" ht="12.75" customHeight="1" thickTop="1" thickBot="1" x14ac:dyDescent="0.25">
      <c r="A55" s="30">
        <v>29</v>
      </c>
      <c r="B55" s="31"/>
      <c r="C55" s="31"/>
      <c r="D55" s="32">
        <f t="shared" si="0"/>
        <v>0</v>
      </c>
      <c r="E55" s="3"/>
      <c r="F55" s="3"/>
      <c r="G55" s="3"/>
      <c r="H55" s="3"/>
      <c r="I55" s="3"/>
      <c r="J55" s="3"/>
      <c r="K55" s="3"/>
      <c r="L55" s="4"/>
    </row>
    <row r="56" spans="1:12" ht="12.75" customHeight="1" thickTop="1" thickBot="1" x14ac:dyDescent="0.25">
      <c r="A56" s="30">
        <v>30</v>
      </c>
      <c r="B56" s="31"/>
      <c r="C56" s="31"/>
      <c r="D56" s="32">
        <f t="shared" si="0"/>
        <v>0</v>
      </c>
      <c r="E56" s="3"/>
      <c r="F56" s="3"/>
      <c r="G56" s="3"/>
      <c r="H56" s="3"/>
      <c r="I56" s="3"/>
      <c r="J56" s="3"/>
      <c r="K56" s="3"/>
      <c r="L56" s="4"/>
    </row>
    <row r="57" spans="1:12" ht="12.75" customHeight="1" thickTop="1" thickBot="1" x14ac:dyDescent="0.25">
      <c r="A57" s="30">
        <v>31</v>
      </c>
      <c r="B57" s="31"/>
      <c r="C57" s="31"/>
      <c r="D57" s="32">
        <f t="shared" si="0"/>
        <v>0</v>
      </c>
      <c r="E57" s="3"/>
      <c r="F57" s="3"/>
      <c r="G57" s="3"/>
      <c r="H57" s="3"/>
      <c r="I57" s="3"/>
      <c r="J57" s="3"/>
      <c r="K57" s="3"/>
      <c r="L57" s="4"/>
    </row>
    <row r="58" spans="1:12" ht="12.75" customHeight="1" thickTop="1" thickBot="1" x14ac:dyDescent="0.25">
      <c r="A58" s="30">
        <v>32</v>
      </c>
      <c r="B58" s="31"/>
      <c r="C58" s="31"/>
      <c r="D58" s="32">
        <f t="shared" si="0"/>
        <v>0</v>
      </c>
      <c r="E58" s="3"/>
      <c r="F58" s="3"/>
      <c r="G58" s="3"/>
      <c r="H58" s="3"/>
      <c r="I58" s="3"/>
      <c r="J58" s="3"/>
      <c r="K58" s="3"/>
      <c r="L58" s="4"/>
    </row>
    <row r="59" spans="1:12" ht="12.75" customHeight="1" thickTop="1" thickBot="1" x14ac:dyDescent="0.25">
      <c r="A59" s="30">
        <v>33</v>
      </c>
      <c r="B59" s="31"/>
      <c r="C59" s="31"/>
      <c r="D59" s="32">
        <f t="shared" ref="D59:D81" si="1">EXP(-rf*C59)*B59</f>
        <v>0</v>
      </c>
      <c r="E59" s="3"/>
      <c r="F59" s="3"/>
      <c r="G59" s="3"/>
      <c r="H59" s="3"/>
      <c r="I59" s="3"/>
      <c r="J59" s="3"/>
      <c r="K59" s="3"/>
      <c r="L59" s="4"/>
    </row>
    <row r="60" spans="1:12" ht="12.75" customHeight="1" thickTop="1" thickBot="1" x14ac:dyDescent="0.25">
      <c r="A60" s="30">
        <v>34</v>
      </c>
      <c r="B60" s="31"/>
      <c r="C60" s="31"/>
      <c r="D60" s="32">
        <f t="shared" si="1"/>
        <v>0</v>
      </c>
      <c r="E60" s="3"/>
      <c r="F60" s="3"/>
      <c r="G60" s="3"/>
      <c r="H60" s="3"/>
      <c r="I60" s="3"/>
      <c r="J60" s="3"/>
      <c r="K60" s="3"/>
      <c r="L60" s="4"/>
    </row>
    <row r="61" spans="1:12" ht="12.75" customHeight="1" thickTop="1" thickBot="1" x14ac:dyDescent="0.25">
      <c r="A61" s="30">
        <v>35</v>
      </c>
      <c r="B61" s="31"/>
      <c r="C61" s="31"/>
      <c r="D61" s="32">
        <f t="shared" si="1"/>
        <v>0</v>
      </c>
      <c r="E61" s="3"/>
      <c r="F61" s="3"/>
      <c r="G61" s="3"/>
      <c r="H61" s="3"/>
      <c r="I61" s="3"/>
      <c r="J61" s="3"/>
      <c r="K61" s="3"/>
      <c r="L61" s="4"/>
    </row>
    <row r="62" spans="1:12" ht="12.75" customHeight="1" thickTop="1" thickBot="1" x14ac:dyDescent="0.25">
      <c r="A62" s="30">
        <v>36</v>
      </c>
      <c r="B62" s="31"/>
      <c r="C62" s="31"/>
      <c r="D62" s="32">
        <f t="shared" si="1"/>
        <v>0</v>
      </c>
      <c r="E62" s="3"/>
      <c r="F62" s="3"/>
      <c r="G62" s="3"/>
      <c r="H62" s="3"/>
      <c r="I62" s="3"/>
      <c r="J62" s="3"/>
      <c r="K62" s="3"/>
      <c r="L62" s="4"/>
    </row>
    <row r="63" spans="1:12" ht="12.75" customHeight="1" thickTop="1" thickBot="1" x14ac:dyDescent="0.25">
      <c r="A63" s="30">
        <v>37</v>
      </c>
      <c r="B63" s="31"/>
      <c r="C63" s="31"/>
      <c r="D63" s="32">
        <f t="shared" si="1"/>
        <v>0</v>
      </c>
      <c r="E63" s="3"/>
      <c r="F63" s="3"/>
      <c r="G63" s="3"/>
      <c r="H63" s="3"/>
      <c r="I63" s="3"/>
      <c r="J63" s="3"/>
      <c r="K63" s="3"/>
      <c r="L63" s="4"/>
    </row>
    <row r="64" spans="1:12" ht="12.75" customHeight="1" thickTop="1" thickBot="1" x14ac:dyDescent="0.25">
      <c r="A64" s="30">
        <v>38</v>
      </c>
      <c r="B64" s="31"/>
      <c r="C64" s="31"/>
      <c r="D64" s="32">
        <f t="shared" si="1"/>
        <v>0</v>
      </c>
      <c r="E64" s="3"/>
      <c r="F64" s="3"/>
      <c r="G64" s="3"/>
      <c r="H64" s="3"/>
      <c r="I64" s="3"/>
      <c r="J64" s="3"/>
      <c r="K64" s="3"/>
      <c r="L64" s="4"/>
    </row>
    <row r="65" spans="1:12" ht="12.75" customHeight="1" thickTop="1" thickBot="1" x14ac:dyDescent="0.25">
      <c r="A65" s="30">
        <v>39</v>
      </c>
      <c r="B65" s="31"/>
      <c r="C65" s="31"/>
      <c r="D65" s="32">
        <f t="shared" si="1"/>
        <v>0</v>
      </c>
      <c r="E65" s="3"/>
      <c r="F65" s="3"/>
      <c r="G65" s="3"/>
      <c r="H65" s="3"/>
      <c r="I65" s="3"/>
      <c r="J65" s="3"/>
      <c r="K65" s="3"/>
      <c r="L65" s="4"/>
    </row>
    <row r="66" spans="1:12" ht="12.75" customHeight="1" thickTop="1" thickBot="1" x14ac:dyDescent="0.25">
      <c r="A66" s="30">
        <v>40</v>
      </c>
      <c r="B66" s="31"/>
      <c r="C66" s="31"/>
      <c r="D66" s="32">
        <f t="shared" si="1"/>
        <v>0</v>
      </c>
      <c r="E66" s="3"/>
      <c r="F66" s="3"/>
      <c r="G66" s="3"/>
      <c r="H66" s="3"/>
      <c r="I66" s="3"/>
      <c r="J66" s="3"/>
      <c r="K66" s="3"/>
      <c r="L66" s="4"/>
    </row>
    <row r="67" spans="1:12" ht="12.75" customHeight="1" thickTop="1" thickBot="1" x14ac:dyDescent="0.25">
      <c r="A67" s="30">
        <v>41</v>
      </c>
      <c r="B67" s="31"/>
      <c r="C67" s="31"/>
      <c r="D67" s="32">
        <f t="shared" si="1"/>
        <v>0</v>
      </c>
      <c r="E67" s="3"/>
      <c r="F67" s="3"/>
      <c r="G67" s="3"/>
      <c r="H67" s="3"/>
      <c r="I67" s="3"/>
      <c r="J67" s="3"/>
      <c r="K67" s="3"/>
      <c r="L67" s="4"/>
    </row>
    <row r="68" spans="1:12" ht="12.75" customHeight="1" thickTop="1" thickBot="1" x14ac:dyDescent="0.25">
      <c r="A68" s="30">
        <v>42</v>
      </c>
      <c r="B68" s="31"/>
      <c r="C68" s="31"/>
      <c r="D68" s="32">
        <f t="shared" si="1"/>
        <v>0</v>
      </c>
      <c r="E68" s="3"/>
      <c r="F68" s="3"/>
      <c r="G68" s="3"/>
      <c r="H68" s="3"/>
      <c r="I68" s="3"/>
      <c r="J68" s="3"/>
      <c r="K68" s="3"/>
      <c r="L68" s="4"/>
    </row>
    <row r="69" spans="1:12" ht="12.75" customHeight="1" thickTop="1" thickBot="1" x14ac:dyDescent="0.25">
      <c r="A69" s="30">
        <v>43</v>
      </c>
      <c r="B69" s="31"/>
      <c r="C69" s="31"/>
      <c r="D69" s="32">
        <f t="shared" si="1"/>
        <v>0</v>
      </c>
      <c r="E69" s="3"/>
      <c r="F69" s="3"/>
      <c r="G69" s="3"/>
      <c r="H69" s="3"/>
      <c r="I69" s="3"/>
      <c r="J69" s="3"/>
      <c r="K69" s="3"/>
      <c r="L69" s="4"/>
    </row>
    <row r="70" spans="1:12" ht="12.75" customHeight="1" thickTop="1" thickBot="1" x14ac:dyDescent="0.25">
      <c r="A70" s="30">
        <v>44</v>
      </c>
      <c r="B70" s="31"/>
      <c r="C70" s="31"/>
      <c r="D70" s="32">
        <f t="shared" si="1"/>
        <v>0</v>
      </c>
      <c r="E70" s="3"/>
      <c r="F70" s="3"/>
      <c r="G70" s="3"/>
      <c r="H70" s="3"/>
      <c r="I70" s="3"/>
      <c r="J70" s="3"/>
      <c r="K70" s="3"/>
      <c r="L70" s="4"/>
    </row>
    <row r="71" spans="1:12" ht="12.75" customHeight="1" thickTop="1" thickBot="1" x14ac:dyDescent="0.25">
      <c r="A71" s="30">
        <v>45</v>
      </c>
      <c r="B71" s="31"/>
      <c r="C71" s="31"/>
      <c r="D71" s="32">
        <f t="shared" si="1"/>
        <v>0</v>
      </c>
      <c r="E71" s="3"/>
      <c r="F71" s="3"/>
      <c r="G71" s="3"/>
      <c r="H71" s="3"/>
      <c r="I71" s="3"/>
      <c r="J71" s="3"/>
      <c r="K71" s="3"/>
      <c r="L71" s="4"/>
    </row>
    <row r="72" spans="1:12" ht="12.75" customHeight="1" thickTop="1" thickBot="1" x14ac:dyDescent="0.25">
      <c r="A72" s="30">
        <v>46</v>
      </c>
      <c r="B72" s="31"/>
      <c r="C72" s="31"/>
      <c r="D72" s="32">
        <f t="shared" si="1"/>
        <v>0</v>
      </c>
      <c r="E72" s="3"/>
      <c r="F72" s="3"/>
      <c r="G72" s="3"/>
      <c r="H72" s="3"/>
      <c r="I72" s="3"/>
      <c r="J72" s="3"/>
      <c r="K72" s="3"/>
      <c r="L72" s="4"/>
    </row>
    <row r="73" spans="1:12" ht="12.75" customHeight="1" thickTop="1" thickBot="1" x14ac:dyDescent="0.25">
      <c r="A73" s="30">
        <v>47</v>
      </c>
      <c r="B73" s="31"/>
      <c r="C73" s="31"/>
      <c r="D73" s="32">
        <f t="shared" si="1"/>
        <v>0</v>
      </c>
      <c r="E73" s="3"/>
      <c r="F73" s="3"/>
      <c r="G73" s="3"/>
      <c r="H73" s="3"/>
      <c r="I73" s="3"/>
      <c r="J73" s="3"/>
      <c r="K73" s="3"/>
      <c r="L73" s="4"/>
    </row>
    <row r="74" spans="1:12" ht="12.75" customHeight="1" thickTop="1" thickBot="1" x14ac:dyDescent="0.25">
      <c r="A74" s="30">
        <v>48</v>
      </c>
      <c r="B74" s="31"/>
      <c r="C74" s="31"/>
      <c r="D74" s="32">
        <f t="shared" si="1"/>
        <v>0</v>
      </c>
      <c r="E74" s="3"/>
      <c r="F74" s="3"/>
      <c r="G74" s="3"/>
      <c r="H74" s="3"/>
      <c r="I74" s="3"/>
      <c r="J74" s="3"/>
      <c r="K74" s="3"/>
      <c r="L74" s="4"/>
    </row>
    <row r="75" spans="1:12" ht="12.75" customHeight="1" thickTop="1" thickBot="1" x14ac:dyDescent="0.25">
      <c r="A75" s="30">
        <v>49</v>
      </c>
      <c r="B75" s="31"/>
      <c r="C75" s="31"/>
      <c r="D75" s="32">
        <f t="shared" si="1"/>
        <v>0</v>
      </c>
      <c r="E75" s="3"/>
      <c r="F75" s="3"/>
      <c r="G75" s="3"/>
      <c r="H75" s="3"/>
      <c r="I75" s="3"/>
      <c r="J75" s="3"/>
      <c r="K75" s="3"/>
      <c r="L75" s="4"/>
    </row>
    <row r="76" spans="1:12" ht="12.75" customHeight="1" thickTop="1" thickBot="1" x14ac:dyDescent="0.25">
      <c r="A76" s="30">
        <v>50</v>
      </c>
      <c r="B76" s="31"/>
      <c r="C76" s="31"/>
      <c r="D76" s="32">
        <f t="shared" si="1"/>
        <v>0</v>
      </c>
      <c r="E76" s="3"/>
      <c r="F76" s="3"/>
      <c r="G76" s="3"/>
      <c r="H76" s="3"/>
      <c r="I76" s="3"/>
      <c r="J76" s="3"/>
      <c r="K76" s="3"/>
      <c r="L76" s="4"/>
    </row>
    <row r="77" spans="1:12" ht="12.75" customHeight="1" thickTop="1" thickBot="1" x14ac:dyDescent="0.25">
      <c r="A77" s="30">
        <v>51</v>
      </c>
      <c r="B77" s="31"/>
      <c r="C77" s="31"/>
      <c r="D77" s="32">
        <f t="shared" si="1"/>
        <v>0</v>
      </c>
      <c r="E77" s="3"/>
      <c r="F77" s="3"/>
      <c r="G77" s="3"/>
      <c r="H77" s="3"/>
      <c r="I77" s="3"/>
      <c r="J77" s="3"/>
      <c r="K77" s="3"/>
      <c r="L77" s="4"/>
    </row>
    <row r="78" spans="1:12" ht="12.75" customHeight="1" thickTop="1" thickBot="1" x14ac:dyDescent="0.25">
      <c r="A78" s="30">
        <v>52</v>
      </c>
      <c r="B78" s="31"/>
      <c r="C78" s="31"/>
      <c r="D78" s="32">
        <f t="shared" si="1"/>
        <v>0</v>
      </c>
      <c r="E78" s="3"/>
      <c r="F78" s="3"/>
      <c r="G78" s="3"/>
      <c r="H78" s="3"/>
      <c r="I78" s="3"/>
      <c r="J78" s="3"/>
      <c r="K78" s="3"/>
      <c r="L78" s="4"/>
    </row>
    <row r="79" spans="1:12" ht="12.75" customHeight="1" thickTop="1" thickBot="1" x14ac:dyDescent="0.25">
      <c r="A79" s="30">
        <v>53</v>
      </c>
      <c r="B79" s="31"/>
      <c r="C79" s="31"/>
      <c r="D79" s="32">
        <f t="shared" si="1"/>
        <v>0</v>
      </c>
      <c r="E79" s="3"/>
      <c r="F79" s="3"/>
      <c r="G79" s="3"/>
      <c r="H79" s="3"/>
      <c r="I79" s="3"/>
      <c r="J79" s="3"/>
      <c r="K79" s="3"/>
      <c r="L79" s="4"/>
    </row>
    <row r="80" spans="1:12" ht="12.75" customHeight="1" thickTop="1" thickBot="1" x14ac:dyDescent="0.25">
      <c r="A80" s="30">
        <v>54</v>
      </c>
      <c r="B80" s="31"/>
      <c r="C80" s="31"/>
      <c r="D80" s="32">
        <f t="shared" si="1"/>
        <v>0</v>
      </c>
      <c r="E80" s="3"/>
      <c r="F80" s="3"/>
      <c r="G80" s="3"/>
      <c r="H80" s="3"/>
      <c r="I80" s="3"/>
      <c r="J80" s="3"/>
      <c r="K80" s="3"/>
      <c r="L80" s="4"/>
    </row>
    <row r="81" spans="1:12" ht="12.75" customHeight="1" thickTop="1" thickBot="1" x14ac:dyDescent="0.25">
      <c r="A81" s="30">
        <v>55</v>
      </c>
      <c r="B81" s="31"/>
      <c r="C81" s="31"/>
      <c r="D81" s="32">
        <f t="shared" si="1"/>
        <v>0</v>
      </c>
      <c r="E81" s="3"/>
      <c r="F81" s="3"/>
      <c r="G81" s="3"/>
      <c r="H81" s="3"/>
      <c r="I81" s="3"/>
      <c r="J81" s="3"/>
      <c r="K81" s="3"/>
      <c r="L81" s="4"/>
    </row>
    <row r="82" spans="1:12" ht="12.75" customHeight="1" thickTop="1" thickBot="1" x14ac:dyDescent="0.25">
      <c r="A82" s="30">
        <v>56</v>
      </c>
      <c r="B82" s="31"/>
      <c r="C82" s="31"/>
      <c r="D82" s="32">
        <f>EXP(-rf*C82)*B82</f>
        <v>0</v>
      </c>
      <c r="E82" s="3"/>
      <c r="F82" s="3"/>
      <c r="G82" s="3"/>
      <c r="H82" s="3"/>
      <c r="I82" s="3"/>
      <c r="J82" s="3"/>
      <c r="K82" s="3"/>
      <c r="L82" s="4"/>
    </row>
    <row r="83" spans="1:12" ht="12.75" customHeight="1" thickTop="1" thickBot="1" x14ac:dyDescent="0.25">
      <c r="A83" s="30">
        <v>57</v>
      </c>
      <c r="B83" s="31"/>
      <c r="C83" s="31"/>
      <c r="D83" s="32">
        <f t="shared" ref="D83:D126" si="2">EXP(-rf*C83)*B83</f>
        <v>0</v>
      </c>
      <c r="E83" s="3"/>
      <c r="F83" s="3"/>
      <c r="G83" s="3"/>
      <c r="H83" s="3"/>
      <c r="I83" s="3"/>
      <c r="J83" s="3"/>
      <c r="K83" s="3"/>
      <c r="L83" s="4"/>
    </row>
    <row r="84" spans="1:12" ht="12.75" customHeight="1" thickTop="1" thickBot="1" x14ac:dyDescent="0.25">
      <c r="A84" s="30">
        <v>58</v>
      </c>
      <c r="B84" s="31"/>
      <c r="C84" s="31"/>
      <c r="D84" s="32">
        <f t="shared" si="2"/>
        <v>0</v>
      </c>
      <c r="E84" s="3"/>
      <c r="F84" s="3"/>
      <c r="G84" s="3"/>
      <c r="H84" s="3"/>
      <c r="I84" s="3"/>
      <c r="J84" s="3"/>
      <c r="K84" s="3"/>
      <c r="L84" s="4"/>
    </row>
    <row r="85" spans="1:12" ht="12.75" customHeight="1" thickTop="1" thickBot="1" x14ac:dyDescent="0.25">
      <c r="A85" s="30">
        <v>59</v>
      </c>
      <c r="B85" s="31"/>
      <c r="C85" s="31"/>
      <c r="D85" s="32">
        <f t="shared" si="2"/>
        <v>0</v>
      </c>
      <c r="E85" s="3"/>
      <c r="F85" s="3"/>
      <c r="G85" s="3"/>
      <c r="H85" s="3"/>
      <c r="I85" s="3"/>
      <c r="J85" s="3"/>
      <c r="K85" s="3"/>
      <c r="L85" s="4"/>
    </row>
    <row r="86" spans="1:12" ht="12.75" customHeight="1" thickTop="1" thickBot="1" x14ac:dyDescent="0.25">
      <c r="A86" s="30">
        <v>60</v>
      </c>
      <c r="B86" s="31"/>
      <c r="C86" s="31"/>
      <c r="D86" s="32">
        <f t="shared" si="2"/>
        <v>0</v>
      </c>
      <c r="E86" s="3"/>
      <c r="F86" s="3"/>
      <c r="G86" s="3"/>
      <c r="H86" s="3"/>
      <c r="I86" s="3"/>
      <c r="J86" s="3"/>
      <c r="K86" s="3"/>
      <c r="L86" s="4"/>
    </row>
    <row r="87" spans="1:12" ht="12.75" customHeight="1" thickTop="1" thickBot="1" x14ac:dyDescent="0.25">
      <c r="A87" s="30">
        <v>61</v>
      </c>
      <c r="B87" s="31"/>
      <c r="C87" s="31"/>
      <c r="D87" s="32">
        <f t="shared" si="2"/>
        <v>0</v>
      </c>
      <c r="E87" s="3"/>
      <c r="F87" s="3"/>
      <c r="G87" s="3"/>
      <c r="H87" s="3"/>
      <c r="I87" s="3"/>
      <c r="J87" s="3"/>
      <c r="K87" s="3"/>
      <c r="L87" s="4"/>
    </row>
    <row r="88" spans="1:12" ht="12.75" customHeight="1" thickTop="1" thickBot="1" x14ac:dyDescent="0.25">
      <c r="A88" s="30">
        <v>62</v>
      </c>
      <c r="B88" s="31"/>
      <c r="C88" s="31"/>
      <c r="D88" s="32">
        <f t="shared" si="2"/>
        <v>0</v>
      </c>
      <c r="E88" s="3"/>
      <c r="F88" s="3"/>
      <c r="G88" s="3"/>
      <c r="H88" s="3"/>
      <c r="I88" s="3"/>
      <c r="J88" s="3"/>
      <c r="K88" s="3"/>
      <c r="L88" s="4"/>
    </row>
    <row r="89" spans="1:12" ht="12.75" customHeight="1" thickTop="1" thickBot="1" x14ac:dyDescent="0.25">
      <c r="A89" s="30">
        <v>63</v>
      </c>
      <c r="B89" s="31"/>
      <c r="C89" s="31"/>
      <c r="D89" s="32">
        <f t="shared" si="2"/>
        <v>0</v>
      </c>
      <c r="E89" s="3"/>
      <c r="F89" s="3"/>
      <c r="G89" s="3"/>
      <c r="H89" s="3"/>
      <c r="I89" s="3"/>
      <c r="J89" s="3"/>
      <c r="K89" s="3"/>
      <c r="L89" s="4"/>
    </row>
    <row r="90" spans="1:12" ht="12.75" customHeight="1" thickTop="1" thickBot="1" x14ac:dyDescent="0.25">
      <c r="A90" s="30">
        <v>64</v>
      </c>
      <c r="B90" s="31"/>
      <c r="C90" s="31"/>
      <c r="D90" s="32">
        <f t="shared" si="2"/>
        <v>0</v>
      </c>
      <c r="E90" s="3"/>
      <c r="F90" s="3"/>
      <c r="G90" s="3"/>
      <c r="H90" s="3"/>
      <c r="I90" s="3"/>
      <c r="J90" s="3"/>
      <c r="K90" s="3"/>
      <c r="L90" s="4"/>
    </row>
    <row r="91" spans="1:12" ht="12.75" customHeight="1" thickTop="1" thickBot="1" x14ac:dyDescent="0.25">
      <c r="A91" s="30">
        <v>65</v>
      </c>
      <c r="B91" s="31"/>
      <c r="C91" s="31"/>
      <c r="D91" s="32">
        <f t="shared" si="2"/>
        <v>0</v>
      </c>
      <c r="E91" s="3"/>
      <c r="F91" s="3"/>
      <c r="G91" s="3"/>
      <c r="H91" s="3"/>
      <c r="I91" s="3"/>
      <c r="J91" s="3"/>
      <c r="K91" s="3"/>
      <c r="L91" s="4"/>
    </row>
    <row r="92" spans="1:12" ht="12.75" customHeight="1" thickTop="1" thickBot="1" x14ac:dyDescent="0.25">
      <c r="A92" s="30">
        <v>66</v>
      </c>
      <c r="B92" s="31"/>
      <c r="C92" s="31"/>
      <c r="D92" s="32">
        <f t="shared" si="2"/>
        <v>0</v>
      </c>
      <c r="E92" s="3"/>
      <c r="F92" s="3"/>
      <c r="G92" s="3"/>
      <c r="H92" s="3"/>
      <c r="I92" s="3"/>
      <c r="J92" s="3"/>
      <c r="K92" s="3"/>
      <c r="L92" s="4"/>
    </row>
    <row r="93" spans="1:12" ht="12.75" customHeight="1" thickTop="1" thickBot="1" x14ac:dyDescent="0.25">
      <c r="A93" s="30">
        <v>67</v>
      </c>
      <c r="B93" s="31"/>
      <c r="C93" s="31"/>
      <c r="D93" s="32">
        <f t="shared" si="2"/>
        <v>0</v>
      </c>
      <c r="E93" s="3"/>
      <c r="F93" s="3"/>
      <c r="G93" s="3"/>
      <c r="H93" s="3"/>
      <c r="I93" s="3"/>
      <c r="J93" s="3"/>
      <c r="K93" s="3"/>
      <c r="L93" s="4"/>
    </row>
    <row r="94" spans="1:12" ht="12.75" customHeight="1" thickTop="1" thickBot="1" x14ac:dyDescent="0.25">
      <c r="A94" s="30">
        <v>68</v>
      </c>
      <c r="B94" s="31"/>
      <c r="C94" s="31"/>
      <c r="D94" s="32">
        <f t="shared" si="2"/>
        <v>0</v>
      </c>
      <c r="E94" s="3"/>
      <c r="F94" s="3"/>
      <c r="G94" s="3"/>
      <c r="H94" s="3"/>
      <c r="I94" s="3"/>
      <c r="J94" s="3"/>
      <c r="K94" s="3"/>
      <c r="L94" s="4"/>
    </row>
    <row r="95" spans="1:12" ht="12.75" customHeight="1" thickTop="1" thickBot="1" x14ac:dyDescent="0.25">
      <c r="A95" s="30">
        <v>69</v>
      </c>
      <c r="B95" s="31"/>
      <c r="C95" s="31"/>
      <c r="D95" s="32">
        <f t="shared" si="2"/>
        <v>0</v>
      </c>
      <c r="E95" s="3"/>
      <c r="F95" s="3"/>
      <c r="G95" s="3"/>
      <c r="H95" s="3"/>
      <c r="I95" s="3"/>
      <c r="J95" s="3"/>
      <c r="K95" s="3"/>
      <c r="L95" s="4"/>
    </row>
    <row r="96" spans="1:12" ht="12.75" customHeight="1" thickTop="1" thickBot="1" x14ac:dyDescent="0.25">
      <c r="A96" s="30">
        <v>70</v>
      </c>
      <c r="B96" s="31"/>
      <c r="C96" s="31"/>
      <c r="D96" s="32">
        <f t="shared" si="2"/>
        <v>0</v>
      </c>
      <c r="E96" s="3"/>
      <c r="F96" s="3"/>
      <c r="G96" s="3"/>
      <c r="H96" s="3"/>
      <c r="I96" s="3"/>
      <c r="J96" s="3"/>
      <c r="K96" s="3"/>
      <c r="L96" s="4"/>
    </row>
    <row r="97" spans="1:12" ht="12.75" customHeight="1" thickTop="1" thickBot="1" x14ac:dyDescent="0.25">
      <c r="A97" s="30">
        <v>71</v>
      </c>
      <c r="B97" s="31"/>
      <c r="C97" s="31"/>
      <c r="D97" s="32">
        <f t="shared" si="2"/>
        <v>0</v>
      </c>
      <c r="E97" s="3"/>
      <c r="F97" s="3"/>
      <c r="G97" s="3"/>
      <c r="H97" s="3"/>
      <c r="I97" s="3"/>
      <c r="J97" s="3"/>
      <c r="K97" s="3"/>
      <c r="L97" s="4"/>
    </row>
    <row r="98" spans="1:12" ht="12.75" customHeight="1" thickTop="1" thickBot="1" x14ac:dyDescent="0.25">
      <c r="A98" s="30">
        <v>72</v>
      </c>
      <c r="B98" s="31"/>
      <c r="C98" s="31"/>
      <c r="D98" s="32">
        <f t="shared" si="2"/>
        <v>0</v>
      </c>
      <c r="E98" s="3"/>
      <c r="F98" s="3"/>
      <c r="G98" s="3"/>
      <c r="H98" s="3"/>
      <c r="I98" s="3"/>
      <c r="J98" s="3"/>
      <c r="K98" s="3"/>
      <c r="L98" s="4"/>
    </row>
    <row r="99" spans="1:12" ht="12.75" customHeight="1" thickTop="1" thickBot="1" x14ac:dyDescent="0.25">
      <c r="A99" s="30">
        <v>73</v>
      </c>
      <c r="B99" s="31"/>
      <c r="C99" s="31"/>
      <c r="D99" s="32">
        <f t="shared" si="2"/>
        <v>0</v>
      </c>
      <c r="E99" s="3"/>
      <c r="F99" s="3"/>
      <c r="G99" s="3"/>
      <c r="H99" s="3"/>
      <c r="I99" s="3"/>
      <c r="J99" s="3"/>
      <c r="K99" s="3"/>
      <c r="L99" s="4"/>
    </row>
    <row r="100" spans="1:12" ht="12.75" customHeight="1" thickTop="1" thickBot="1" x14ac:dyDescent="0.25">
      <c r="A100" s="30">
        <v>74</v>
      </c>
      <c r="B100" s="31"/>
      <c r="C100" s="31"/>
      <c r="D100" s="32">
        <f t="shared" si="2"/>
        <v>0</v>
      </c>
      <c r="E100" s="3"/>
      <c r="F100" s="3"/>
      <c r="G100" s="3"/>
      <c r="H100" s="3"/>
      <c r="I100" s="3"/>
      <c r="J100" s="3"/>
      <c r="K100" s="3"/>
      <c r="L100" s="4"/>
    </row>
    <row r="101" spans="1:12" ht="12.75" customHeight="1" thickTop="1" thickBot="1" x14ac:dyDescent="0.25">
      <c r="A101" s="30">
        <v>75</v>
      </c>
      <c r="B101" s="31"/>
      <c r="C101" s="31"/>
      <c r="D101" s="32">
        <f t="shared" si="2"/>
        <v>0</v>
      </c>
      <c r="E101" s="3"/>
      <c r="F101" s="3"/>
      <c r="G101" s="3"/>
      <c r="H101" s="3"/>
      <c r="I101" s="3"/>
      <c r="J101" s="3"/>
      <c r="K101" s="3"/>
      <c r="L101" s="4"/>
    </row>
    <row r="102" spans="1:12" ht="12.75" customHeight="1" thickTop="1" thickBot="1" x14ac:dyDescent="0.25">
      <c r="A102" s="30">
        <v>76</v>
      </c>
      <c r="B102" s="31"/>
      <c r="C102" s="31"/>
      <c r="D102" s="32">
        <f t="shared" si="2"/>
        <v>0</v>
      </c>
      <c r="E102" s="3"/>
      <c r="F102" s="3"/>
      <c r="G102" s="3"/>
      <c r="H102" s="3"/>
      <c r="I102" s="3"/>
      <c r="J102" s="3"/>
      <c r="K102" s="3"/>
      <c r="L102" s="4"/>
    </row>
    <row r="103" spans="1:12" ht="12.75" customHeight="1" thickTop="1" thickBot="1" x14ac:dyDescent="0.25">
      <c r="A103" s="30">
        <v>77</v>
      </c>
      <c r="B103" s="31"/>
      <c r="C103" s="31"/>
      <c r="D103" s="32">
        <f t="shared" si="2"/>
        <v>0</v>
      </c>
      <c r="E103" s="3"/>
      <c r="F103" s="3"/>
      <c r="G103" s="3"/>
      <c r="H103" s="3"/>
      <c r="I103" s="3"/>
      <c r="J103" s="3"/>
      <c r="K103" s="3"/>
      <c r="L103" s="4"/>
    </row>
    <row r="104" spans="1:12" ht="12.75" customHeight="1" thickTop="1" thickBot="1" x14ac:dyDescent="0.25">
      <c r="A104" s="30">
        <v>78</v>
      </c>
      <c r="B104" s="31"/>
      <c r="C104" s="31"/>
      <c r="D104" s="32">
        <f t="shared" si="2"/>
        <v>0</v>
      </c>
      <c r="E104" s="3"/>
      <c r="F104" s="3"/>
      <c r="G104" s="3"/>
      <c r="H104" s="3"/>
      <c r="I104" s="3"/>
      <c r="J104" s="3"/>
      <c r="K104" s="3"/>
      <c r="L104" s="4"/>
    </row>
    <row r="105" spans="1:12" ht="12.75" customHeight="1" thickTop="1" thickBot="1" x14ac:dyDescent="0.25">
      <c r="A105" s="30">
        <v>79</v>
      </c>
      <c r="B105" s="31"/>
      <c r="C105" s="31"/>
      <c r="D105" s="32">
        <f t="shared" si="2"/>
        <v>0</v>
      </c>
      <c r="E105" s="3"/>
      <c r="F105" s="3"/>
      <c r="G105" s="3"/>
      <c r="H105" s="3"/>
      <c r="I105" s="3"/>
      <c r="J105" s="3"/>
      <c r="K105" s="3"/>
      <c r="L105" s="4"/>
    </row>
    <row r="106" spans="1:12" ht="12.75" customHeight="1" thickTop="1" thickBot="1" x14ac:dyDescent="0.25">
      <c r="A106" s="30">
        <v>80</v>
      </c>
      <c r="B106" s="31"/>
      <c r="C106" s="31"/>
      <c r="D106" s="32">
        <f t="shared" si="2"/>
        <v>0</v>
      </c>
      <c r="E106" s="3"/>
      <c r="F106" s="3"/>
      <c r="G106" s="3"/>
      <c r="H106" s="3"/>
      <c r="I106" s="3"/>
      <c r="J106" s="3"/>
      <c r="K106" s="3"/>
      <c r="L106" s="4"/>
    </row>
    <row r="107" spans="1:12" ht="12.75" customHeight="1" thickTop="1" thickBot="1" x14ac:dyDescent="0.25">
      <c r="A107" s="30">
        <v>81</v>
      </c>
      <c r="B107" s="31"/>
      <c r="C107" s="31"/>
      <c r="D107" s="32">
        <f t="shared" si="2"/>
        <v>0</v>
      </c>
      <c r="E107" s="3"/>
      <c r="F107" s="3"/>
      <c r="G107" s="3"/>
      <c r="H107" s="3"/>
      <c r="I107" s="3"/>
      <c r="J107" s="3"/>
      <c r="K107" s="3"/>
      <c r="L107" s="4"/>
    </row>
    <row r="108" spans="1:12" ht="12.75" customHeight="1" thickTop="1" thickBot="1" x14ac:dyDescent="0.25">
      <c r="A108" s="30">
        <v>82</v>
      </c>
      <c r="B108" s="31"/>
      <c r="C108" s="31"/>
      <c r="D108" s="32">
        <f t="shared" si="2"/>
        <v>0</v>
      </c>
      <c r="E108" s="3"/>
      <c r="F108" s="3"/>
      <c r="G108" s="3"/>
      <c r="H108" s="3"/>
      <c r="I108" s="3"/>
      <c r="J108" s="3"/>
      <c r="K108" s="3"/>
      <c r="L108" s="4"/>
    </row>
    <row r="109" spans="1:12" ht="12.75" customHeight="1" thickTop="1" thickBot="1" x14ac:dyDescent="0.25">
      <c r="A109" s="30">
        <v>83</v>
      </c>
      <c r="B109" s="31"/>
      <c r="C109" s="31"/>
      <c r="D109" s="32">
        <f t="shared" si="2"/>
        <v>0</v>
      </c>
      <c r="E109" s="3"/>
      <c r="F109" s="3"/>
      <c r="G109" s="3"/>
      <c r="H109" s="3"/>
      <c r="I109" s="3"/>
      <c r="J109" s="3"/>
      <c r="K109" s="3"/>
      <c r="L109" s="4"/>
    </row>
    <row r="110" spans="1:12" ht="12.75" customHeight="1" thickTop="1" thickBot="1" x14ac:dyDescent="0.25">
      <c r="A110" s="30">
        <v>84</v>
      </c>
      <c r="B110" s="31"/>
      <c r="C110" s="31"/>
      <c r="D110" s="32">
        <f t="shared" si="2"/>
        <v>0</v>
      </c>
      <c r="E110" s="3"/>
      <c r="F110" s="3"/>
      <c r="G110" s="3"/>
      <c r="H110" s="3"/>
      <c r="I110" s="3"/>
      <c r="J110" s="3"/>
      <c r="K110" s="3"/>
      <c r="L110" s="4"/>
    </row>
    <row r="111" spans="1:12" ht="12.75" customHeight="1" thickTop="1" thickBot="1" x14ac:dyDescent="0.25">
      <c r="A111" s="30">
        <v>85</v>
      </c>
      <c r="B111" s="31"/>
      <c r="C111" s="31"/>
      <c r="D111" s="32">
        <f t="shared" si="2"/>
        <v>0</v>
      </c>
      <c r="E111" s="3"/>
      <c r="F111" s="3"/>
      <c r="G111" s="3"/>
      <c r="H111" s="3"/>
      <c r="I111" s="3"/>
      <c r="J111" s="3"/>
      <c r="K111" s="3"/>
      <c r="L111" s="4"/>
    </row>
    <row r="112" spans="1:12" ht="12.75" customHeight="1" thickTop="1" thickBot="1" x14ac:dyDescent="0.25">
      <c r="A112" s="30">
        <v>86</v>
      </c>
      <c r="B112" s="31"/>
      <c r="C112" s="31"/>
      <c r="D112" s="32">
        <f t="shared" si="2"/>
        <v>0</v>
      </c>
      <c r="E112" s="3"/>
      <c r="F112" s="3"/>
      <c r="G112" s="3"/>
      <c r="H112" s="3"/>
      <c r="I112" s="3"/>
      <c r="J112" s="3"/>
      <c r="K112" s="3"/>
      <c r="L112" s="4"/>
    </row>
    <row r="113" spans="1:12" ht="12.75" customHeight="1" thickTop="1" thickBot="1" x14ac:dyDescent="0.25">
      <c r="A113" s="30">
        <v>87</v>
      </c>
      <c r="B113" s="31"/>
      <c r="C113" s="31"/>
      <c r="D113" s="32">
        <f t="shared" si="2"/>
        <v>0</v>
      </c>
      <c r="E113" s="3"/>
      <c r="F113" s="3"/>
      <c r="G113" s="3"/>
      <c r="H113" s="3"/>
      <c r="I113" s="3"/>
      <c r="J113" s="3"/>
      <c r="K113" s="3"/>
      <c r="L113" s="4"/>
    </row>
    <row r="114" spans="1:12" ht="12.75" customHeight="1" thickTop="1" thickBot="1" x14ac:dyDescent="0.25">
      <c r="A114" s="30">
        <v>88</v>
      </c>
      <c r="B114" s="31"/>
      <c r="C114" s="31"/>
      <c r="D114" s="32">
        <f t="shared" si="2"/>
        <v>0</v>
      </c>
      <c r="E114" s="3"/>
      <c r="F114" s="3"/>
      <c r="G114" s="3"/>
      <c r="H114" s="3"/>
      <c r="I114" s="3"/>
      <c r="J114" s="3"/>
      <c r="K114" s="3"/>
      <c r="L114" s="4"/>
    </row>
    <row r="115" spans="1:12" ht="12.75" customHeight="1" thickTop="1" thickBot="1" x14ac:dyDescent="0.25">
      <c r="A115" s="30">
        <v>89</v>
      </c>
      <c r="B115" s="31"/>
      <c r="C115" s="31"/>
      <c r="D115" s="32">
        <f t="shared" si="2"/>
        <v>0</v>
      </c>
      <c r="E115" s="3"/>
      <c r="F115" s="3"/>
      <c r="G115" s="3"/>
      <c r="H115" s="3"/>
      <c r="I115" s="3"/>
      <c r="J115" s="3"/>
      <c r="K115" s="3"/>
      <c r="L115" s="4"/>
    </row>
    <row r="116" spans="1:12" ht="12.75" customHeight="1" thickTop="1" thickBot="1" x14ac:dyDescent="0.25">
      <c r="A116" s="30">
        <v>90</v>
      </c>
      <c r="B116" s="31"/>
      <c r="C116" s="31"/>
      <c r="D116" s="32">
        <f t="shared" si="2"/>
        <v>0</v>
      </c>
      <c r="E116" s="3"/>
      <c r="F116" s="3"/>
      <c r="G116" s="3"/>
      <c r="H116" s="3"/>
      <c r="I116" s="3"/>
      <c r="J116" s="3"/>
      <c r="K116" s="3"/>
      <c r="L116" s="4"/>
    </row>
    <row r="117" spans="1:12" ht="12.75" customHeight="1" thickTop="1" thickBot="1" x14ac:dyDescent="0.25">
      <c r="A117" s="30">
        <v>91</v>
      </c>
      <c r="B117" s="31"/>
      <c r="C117" s="31"/>
      <c r="D117" s="32">
        <f t="shared" si="2"/>
        <v>0</v>
      </c>
      <c r="E117" s="3"/>
      <c r="F117" s="3"/>
      <c r="G117" s="3"/>
      <c r="H117" s="3"/>
      <c r="I117" s="3"/>
      <c r="J117" s="3"/>
      <c r="K117" s="3"/>
      <c r="L117" s="4"/>
    </row>
    <row r="118" spans="1:12" ht="12.75" customHeight="1" thickTop="1" thickBot="1" x14ac:dyDescent="0.25">
      <c r="A118" s="30">
        <v>92</v>
      </c>
      <c r="B118" s="31"/>
      <c r="C118" s="31"/>
      <c r="D118" s="32">
        <f t="shared" si="2"/>
        <v>0</v>
      </c>
      <c r="E118" s="3"/>
      <c r="F118" s="3"/>
      <c r="G118" s="3"/>
      <c r="H118" s="3"/>
      <c r="I118" s="3"/>
      <c r="J118" s="3"/>
      <c r="K118" s="3"/>
      <c r="L118" s="4"/>
    </row>
    <row r="119" spans="1:12" ht="12.75" customHeight="1" thickTop="1" thickBot="1" x14ac:dyDescent="0.25">
      <c r="A119" s="30">
        <v>93</v>
      </c>
      <c r="B119" s="31"/>
      <c r="C119" s="31"/>
      <c r="D119" s="32">
        <f t="shared" si="2"/>
        <v>0</v>
      </c>
      <c r="E119" s="3"/>
      <c r="F119" s="3"/>
      <c r="G119" s="3"/>
      <c r="H119" s="3"/>
      <c r="I119" s="3"/>
      <c r="J119" s="3"/>
      <c r="K119" s="3"/>
      <c r="L119" s="4"/>
    </row>
    <row r="120" spans="1:12" ht="12.75" customHeight="1" thickTop="1" thickBot="1" x14ac:dyDescent="0.25">
      <c r="A120" s="30">
        <v>94</v>
      </c>
      <c r="B120" s="31"/>
      <c r="C120" s="31"/>
      <c r="D120" s="32">
        <f t="shared" si="2"/>
        <v>0</v>
      </c>
      <c r="E120" s="3"/>
      <c r="F120" s="3"/>
      <c r="G120" s="3"/>
      <c r="H120" s="3"/>
      <c r="I120" s="3"/>
      <c r="J120" s="3"/>
      <c r="K120" s="3"/>
      <c r="L120" s="4"/>
    </row>
    <row r="121" spans="1:12" ht="12.75" customHeight="1" thickTop="1" thickBot="1" x14ac:dyDescent="0.25">
      <c r="A121" s="30">
        <v>95</v>
      </c>
      <c r="B121" s="31"/>
      <c r="C121" s="31"/>
      <c r="D121" s="32">
        <f t="shared" si="2"/>
        <v>0</v>
      </c>
      <c r="E121" s="3"/>
      <c r="F121" s="3"/>
      <c r="G121" s="3"/>
      <c r="H121" s="3"/>
      <c r="I121" s="3"/>
      <c r="J121" s="3"/>
      <c r="K121" s="3"/>
      <c r="L121" s="4"/>
    </row>
    <row r="122" spans="1:12" ht="12.75" customHeight="1" thickTop="1" thickBot="1" x14ac:dyDescent="0.25">
      <c r="A122" s="30">
        <v>96</v>
      </c>
      <c r="B122" s="31"/>
      <c r="C122" s="31"/>
      <c r="D122" s="32">
        <f t="shared" si="2"/>
        <v>0</v>
      </c>
      <c r="E122" s="3"/>
      <c r="F122" s="3"/>
      <c r="G122" s="3"/>
      <c r="H122" s="3"/>
      <c r="I122" s="3"/>
      <c r="J122" s="3"/>
      <c r="K122" s="3"/>
      <c r="L122" s="4"/>
    </row>
    <row r="123" spans="1:12" ht="12.75" customHeight="1" thickTop="1" thickBot="1" x14ac:dyDescent="0.25">
      <c r="A123" s="30">
        <v>97</v>
      </c>
      <c r="B123" s="31"/>
      <c r="C123" s="31"/>
      <c r="D123" s="32">
        <f t="shared" si="2"/>
        <v>0</v>
      </c>
      <c r="E123" s="3"/>
      <c r="F123" s="3"/>
      <c r="G123" s="3"/>
      <c r="H123" s="3"/>
      <c r="I123" s="3"/>
      <c r="J123" s="3"/>
      <c r="K123" s="3"/>
      <c r="L123" s="4"/>
    </row>
    <row r="124" spans="1:12" ht="12.75" customHeight="1" thickTop="1" thickBot="1" x14ac:dyDescent="0.25">
      <c r="A124" s="30">
        <v>98</v>
      </c>
      <c r="B124" s="31"/>
      <c r="C124" s="31"/>
      <c r="D124" s="32">
        <f t="shared" si="2"/>
        <v>0</v>
      </c>
      <c r="E124" s="3"/>
      <c r="F124" s="3"/>
      <c r="G124" s="3"/>
      <c r="H124" s="3"/>
      <c r="I124" s="3"/>
      <c r="J124" s="3"/>
      <c r="K124" s="3"/>
      <c r="L124" s="4"/>
    </row>
    <row r="125" spans="1:12" ht="12.75" customHeight="1" thickTop="1" thickBot="1" x14ac:dyDescent="0.25">
      <c r="A125" s="30">
        <v>99</v>
      </c>
      <c r="B125" s="31"/>
      <c r="C125" s="31"/>
      <c r="D125" s="32">
        <f t="shared" si="2"/>
        <v>0</v>
      </c>
      <c r="E125" s="3"/>
      <c r="F125" s="3"/>
      <c r="G125" s="3"/>
      <c r="H125" s="3"/>
      <c r="I125" s="3"/>
      <c r="J125" s="3"/>
      <c r="K125" s="3"/>
      <c r="L125" s="4"/>
    </row>
    <row r="126" spans="1:12" ht="12.75" customHeight="1" thickTop="1" thickBot="1" x14ac:dyDescent="0.25">
      <c r="A126" s="30">
        <v>100</v>
      </c>
      <c r="B126" s="31"/>
      <c r="C126" s="34"/>
      <c r="D126" s="32">
        <f t="shared" si="2"/>
        <v>0</v>
      </c>
      <c r="E126" s="3"/>
      <c r="F126" s="3"/>
      <c r="G126" s="3"/>
      <c r="H126" s="3"/>
      <c r="I126" s="3"/>
      <c r="J126" s="3"/>
      <c r="K126" s="3"/>
      <c r="L126" s="4"/>
    </row>
    <row r="127" spans="1:12" ht="12.75" customHeight="1" thickTop="1" x14ac:dyDescent="0.2">
      <c r="A127" s="35" t="s">
        <v>24</v>
      </c>
      <c r="B127" s="35" t="s">
        <v>24</v>
      </c>
      <c r="C127" s="35" t="s">
        <v>24</v>
      </c>
      <c r="D127" s="35" t="s">
        <v>24</v>
      </c>
      <c r="E127" s="3"/>
      <c r="F127" s="3"/>
      <c r="G127" s="3"/>
      <c r="H127" s="3"/>
      <c r="I127" s="3"/>
      <c r="J127" s="3"/>
      <c r="K127" s="3"/>
      <c r="L127" s="4"/>
    </row>
    <row r="128" spans="1:12" ht="12.75" customHeight="1" x14ac:dyDescent="0.2">
      <c r="A128" s="36"/>
      <c r="B128" s="36"/>
      <c r="C128" s="36" t="s">
        <v>25</v>
      </c>
      <c r="D128" s="37">
        <f>SUM(D27:D127)</f>
        <v>0</v>
      </c>
      <c r="E128" s="3"/>
      <c r="F128" s="3"/>
      <c r="G128" s="3"/>
      <c r="H128" s="3"/>
      <c r="I128" s="3"/>
      <c r="J128" s="3"/>
      <c r="K128" s="3"/>
      <c r="L128" s="4"/>
    </row>
    <row r="129" spans="1:12" ht="12.75" customHeight="1" x14ac:dyDescent="0.2">
      <c r="A129" s="3"/>
      <c r="B129" s="3"/>
      <c r="C129" s="3"/>
      <c r="D129" s="3"/>
      <c r="E129" s="3"/>
      <c r="F129" s="3"/>
      <c r="G129" s="3"/>
      <c r="H129" s="3"/>
      <c r="I129" s="3"/>
      <c r="J129" s="3"/>
      <c r="K129" s="3"/>
      <c r="L129" s="4"/>
    </row>
    <row r="130" spans="1:12" ht="12.75" customHeight="1" x14ac:dyDescent="0.2">
      <c r="A130" s="38"/>
      <c r="B130" s="38"/>
      <c r="C130" s="38"/>
      <c r="D130" s="38"/>
      <c r="E130" s="38"/>
      <c r="F130" s="38"/>
      <c r="G130" s="38"/>
      <c r="H130" s="38"/>
      <c r="I130" s="38"/>
      <c r="J130" s="38"/>
      <c r="K130" s="38"/>
      <c r="L130" s="36"/>
    </row>
    <row r="131" spans="1:12" ht="12.75" customHeight="1" x14ac:dyDescent="0.2"/>
    <row r="132" spans="1:12" ht="13.5" customHeight="1" x14ac:dyDescent="0.2"/>
    <row r="133" spans="1:12" hidden="1" x14ac:dyDescent="0.2">
      <c r="A133" t="s">
        <v>29</v>
      </c>
    </row>
    <row r="134" spans="1:12" hidden="1" x14ac:dyDescent="0.2">
      <c r="A134" t="s">
        <v>26</v>
      </c>
      <c r="B134">
        <v>2</v>
      </c>
      <c r="C134" t="str">
        <f>IF(B134=1,"discrete risk-free rate","continuous risk-free rate")</f>
        <v>continuous risk-free rate</v>
      </c>
    </row>
    <row r="135" spans="1:12" hidden="1" x14ac:dyDescent="0.2">
      <c r="A135" t="s">
        <v>27</v>
      </c>
    </row>
    <row r="136" spans="1:12" ht="14.25" customHeight="1" x14ac:dyDescent="0.2"/>
    <row r="139" spans="1:12" x14ac:dyDescent="0.2">
      <c r="D139" s="1"/>
    </row>
  </sheetData>
  <phoneticPr fontId="0" type="noConversion"/>
  <dataValidations xWindow="203" yWindow="319" count="10">
    <dataValidation type="decimal" operator="greaterThanOrEqual" allowBlank="1" showInputMessage="1" showErrorMessage="1" errorTitle="Input Entry Error" error="The risk-free rate must be non-negative!" promptTitle="Enter a positive number" sqref="C15:D15">
      <formula1>0</formula1>
    </dataValidation>
    <dataValidation operator="greaterThanOrEqual" allowBlank="1" showInputMessage="1" showErrorMessage="1" errorTitle="Input Entry Error" error="The stock price must be non-negative!" promptTitle="Enter a positive number" sqref="D11:D12"/>
    <dataValidation type="decimal" operator="greaterThan" allowBlank="1" showInputMessage="1" showErrorMessage="1" errorTitle="Input Entry Error" error="The Exercise price must be positive!" promptTitle="Enter a positive number" sqref="C12">
      <formula1>0</formula1>
    </dataValidation>
    <dataValidation type="decimal" operator="greaterThanOrEqual" allowBlank="1" showInputMessage="1" showErrorMessage="1" errorTitle="Input Entry Error" error="The time to expiration must be non-negative!" sqref="C13:D13">
      <formula1>0</formula1>
    </dataValidation>
    <dataValidation type="decimal" operator="greaterThanOrEqual" allowBlank="1" showInputMessage="1" showErrorMessage="1" errorTitle="Input Entry Error" error="The standard deviation must be non-negative!" promptTitle="Enter a positive number" sqref="C14:D14">
      <formula1>0</formula1>
    </dataValidation>
    <dataValidation type="decimal" operator="greaterThanOrEqual" allowBlank="1" showInputMessage="1" showErrorMessage="1" errorTitle="Input Entry Error" error="The dividend yield must be non-negative!" sqref="C16 D17">
      <formula1>0</formula1>
    </dataValidation>
    <dataValidation type="decimal" allowBlank="1" showInputMessage="1" showErrorMessage="1" errorTitle="Input Entry Error" error="The number of binomial time steps must be at least 1 and not more than 5,000" promptTitle="Binomial model steps" prompt="Up to 5,000" sqref="J11">
      <formula1>1</formula1>
      <formula2>5000</formula2>
    </dataValidation>
    <dataValidation type="decimal" operator="greaterThanOrEqual" allowBlank="1" showInputMessage="1" showErrorMessage="1" errorTitle="Input Entry Error" error="The dividend must be non-negative!" sqref="I27:I29 B27:B126">
      <formula1>0</formula1>
    </dataValidation>
    <dataValidation type="decimal" operator="greaterThanOrEqual" allowBlank="1" showInputMessage="1" showErrorMessage="1" errorTitle="Input Entry Error" error="The time to ex-dividend date must be non-negative!" sqref="J27:K29 C27:C126">
      <formula1>0</formula1>
    </dataValidation>
    <dataValidation type="decimal" operator="greaterThanOrEqual" allowBlank="1" showInputMessage="1" showErrorMessage="1" errorTitle="Input Entry Error" error="The asset price must be non-negative!" promptTitle="Enter a positive number" sqref="C11">
      <formula1>0</formula1>
    </dataValidation>
  </dataValidations>
  <printOptions gridLines="1" gridLinesSet="0"/>
  <pageMargins left="0.75" right="0.75" top="1" bottom="1" header="0.5" footer="0.5"/>
  <pageSetup scale="48" fitToHeight="2" orientation="portrait" r:id="rId1"/>
  <headerFooter alignWithMargins="0">
    <oddHeader>&amp;F</oddHeader>
    <oddFooter>Page &amp;P</oddFooter>
  </headerFooter>
  <ignoredErrors>
    <ignoredError sqref="G20:G26 G13:H18 D27:D74" unlockedFormula="1"/>
  </ignoredErrors>
  <drawing r:id="rId2"/>
  <legacyDrawing r:id="rId3"/>
  <oleObjects>
    <mc:AlternateContent xmlns:mc="http://schemas.openxmlformats.org/markup-compatibility/2006">
      <mc:Choice Requires="x14">
        <oleObject progId="Equation.DSMT4" shapeId="1079" r:id="rId4">
          <objectPr defaultSize="0" autoPict="0" r:id="rId5">
            <anchor moveWithCells="1">
              <from>
                <xdr:col>13</xdr:col>
                <xdr:colOff>295275</xdr:colOff>
                <xdr:row>3</xdr:row>
                <xdr:rowOff>66675</xdr:rowOff>
              </from>
              <to>
                <xdr:col>18</xdr:col>
                <xdr:colOff>295275</xdr:colOff>
                <xdr:row>14</xdr:row>
                <xdr:rowOff>38100</xdr:rowOff>
              </to>
            </anchor>
          </objectPr>
        </oleObject>
      </mc:Choice>
      <mc:Fallback>
        <oleObject progId="Equation.DSMT4" shapeId="1079" r:id="rId4"/>
      </mc:Fallback>
    </mc:AlternateContent>
    <mc:AlternateContent xmlns:mc="http://schemas.openxmlformats.org/markup-compatibility/2006">
      <mc:Choice Requires="x14">
        <oleObject progId="Equation.DSMT4" shapeId="1080" r:id="rId6">
          <objectPr defaultSize="0" autoPict="0" r:id="rId7">
            <anchor moveWithCells="1">
              <from>
                <xdr:col>13</xdr:col>
                <xdr:colOff>323850</xdr:colOff>
                <xdr:row>16</xdr:row>
                <xdr:rowOff>95250</xdr:rowOff>
              </from>
              <to>
                <xdr:col>17</xdr:col>
                <xdr:colOff>57150</xdr:colOff>
                <xdr:row>25</xdr:row>
                <xdr:rowOff>38100</xdr:rowOff>
              </to>
            </anchor>
          </objectPr>
        </oleObject>
      </mc:Choice>
      <mc:Fallback>
        <oleObject progId="Equation.DSMT4" shapeId="1080" r:id="rId6"/>
      </mc:Fallback>
    </mc:AlternateContent>
  </oleObjects>
  <mc:AlternateContent xmlns:mc="http://schemas.openxmlformats.org/markup-compatibility/2006">
    <mc:Choice Requires="x14">
      <controls>
        <mc:AlternateContent xmlns:mc="http://schemas.openxmlformats.org/markup-compatibility/2006">
          <mc:Choice Requires="x14">
            <control shapeId="1039" r:id="rId8" name="Button 15">
              <controlPr defaultSize="0" autoFill="0" autoLine="0" autoPict="0" macro="[0]!binomial">
                <anchor moveWithCells="1" sizeWithCells="1">
                  <from>
                    <xdr:col>10</xdr:col>
                    <xdr:colOff>104775</xdr:colOff>
                    <xdr:row>8</xdr:row>
                    <xdr:rowOff>114300</xdr:rowOff>
                  </from>
                  <to>
                    <xdr:col>11</xdr:col>
                    <xdr:colOff>257175</xdr:colOff>
                    <xdr:row>10</xdr:row>
                    <xdr:rowOff>190500</xdr:rowOff>
                  </to>
                </anchor>
              </controlPr>
            </control>
          </mc:Choice>
        </mc:AlternateContent>
        <mc:AlternateContent xmlns:mc="http://schemas.openxmlformats.org/markup-compatibility/2006">
          <mc:Choice Requires="x14">
            <control shapeId="1051" r:id="rId9" name="List Box 27">
              <controlPr locked="0" defaultSize="0" autoLine="0" autoPict="0">
                <anchor moveWithCells="1">
                  <from>
                    <xdr:col>3</xdr:col>
                    <xdr:colOff>38100</xdr:colOff>
                    <xdr:row>13</xdr:row>
                    <xdr:rowOff>161925</xdr:rowOff>
                  </from>
                  <to>
                    <xdr:col>3</xdr:col>
                    <xdr:colOff>819150</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7"/>
  <sheetViews>
    <sheetView workbookViewId="0">
      <selection activeCell="O9" sqref="O9"/>
    </sheetView>
  </sheetViews>
  <sheetFormatPr defaultRowHeight="12.75" x14ac:dyDescent="0.2"/>
  <sheetData>
    <row r="1" spans="1:10" x14ac:dyDescent="0.2">
      <c r="A1" s="39"/>
      <c r="B1" s="39"/>
      <c r="C1" s="39"/>
      <c r="D1" s="39"/>
      <c r="E1" s="39"/>
      <c r="F1" s="39"/>
      <c r="G1" s="39"/>
      <c r="H1" s="39"/>
      <c r="I1" s="39"/>
      <c r="J1" s="44"/>
    </row>
    <row r="2" spans="1:10" x14ac:dyDescent="0.2">
      <c r="A2" s="39"/>
      <c r="B2" s="39"/>
      <c r="C2" s="39"/>
      <c r="D2" s="39"/>
      <c r="E2" s="39"/>
      <c r="F2" s="39"/>
      <c r="G2" s="39"/>
      <c r="H2" s="39"/>
      <c r="I2" s="39"/>
      <c r="J2" s="44"/>
    </row>
    <row r="3" spans="1:10" x14ac:dyDescent="0.2">
      <c r="A3" s="39"/>
      <c r="B3" s="39"/>
      <c r="C3" s="39"/>
      <c r="D3" s="39"/>
      <c r="E3" s="39"/>
      <c r="F3" s="39"/>
      <c r="G3" s="39"/>
      <c r="H3" s="39"/>
      <c r="I3" s="39"/>
      <c r="J3" s="44"/>
    </row>
    <row r="4" spans="1:10" x14ac:dyDescent="0.2">
      <c r="A4" s="39"/>
      <c r="B4" s="39"/>
      <c r="C4" s="39"/>
      <c r="D4" s="39"/>
      <c r="E4" s="39"/>
      <c r="F4" s="39"/>
      <c r="G4" s="39"/>
      <c r="H4" s="39"/>
      <c r="I4" s="39"/>
      <c r="J4" s="44"/>
    </row>
    <row r="5" spans="1:10" x14ac:dyDescent="0.2">
      <c r="A5" s="39"/>
      <c r="B5" s="39"/>
      <c r="C5" s="39"/>
      <c r="D5" s="39"/>
      <c r="E5" s="39"/>
      <c r="F5" s="39"/>
      <c r="G5" s="39"/>
      <c r="H5" s="39"/>
      <c r="I5" s="39"/>
      <c r="J5" s="44"/>
    </row>
    <row r="6" spans="1:10" x14ac:dyDescent="0.2">
      <c r="A6" s="39"/>
      <c r="B6" s="39"/>
      <c r="C6" s="39"/>
      <c r="D6" s="39"/>
      <c r="E6" s="39"/>
      <c r="F6" s="39"/>
      <c r="G6" s="39"/>
      <c r="H6" s="39"/>
      <c r="I6" s="39"/>
      <c r="J6" s="44"/>
    </row>
    <row r="7" spans="1:10" x14ac:dyDescent="0.2">
      <c r="A7" s="39"/>
      <c r="B7" s="39"/>
      <c r="C7" s="39"/>
      <c r="D7" s="39"/>
      <c r="E7" s="39"/>
      <c r="F7" s="39"/>
      <c r="G7" s="39"/>
      <c r="H7" s="39"/>
      <c r="I7" s="39"/>
      <c r="J7" s="44"/>
    </row>
    <row r="8" spans="1:10" x14ac:dyDescent="0.2">
      <c r="A8" s="39"/>
      <c r="B8" s="39"/>
      <c r="C8" s="39"/>
      <c r="D8" s="39"/>
      <c r="E8" s="39"/>
      <c r="F8" s="39"/>
      <c r="G8" s="39"/>
      <c r="H8" s="39"/>
      <c r="I8" s="39"/>
      <c r="J8" s="44"/>
    </row>
    <row r="9" spans="1:10" x14ac:dyDescent="0.2">
      <c r="A9" s="39"/>
      <c r="B9" s="39"/>
      <c r="C9" s="39"/>
      <c r="D9" s="39"/>
      <c r="E9" s="39"/>
      <c r="F9" s="39"/>
      <c r="G9" s="39"/>
      <c r="H9" s="39"/>
      <c r="I9" s="39"/>
      <c r="J9" s="44"/>
    </row>
    <row r="10" spans="1:10" x14ac:dyDescent="0.2">
      <c r="A10" s="39"/>
      <c r="B10" s="39"/>
      <c r="C10" s="39"/>
      <c r="D10" s="39"/>
      <c r="E10" s="39"/>
      <c r="F10" s="39"/>
      <c r="G10" s="39"/>
      <c r="H10" s="39"/>
      <c r="I10" s="39"/>
      <c r="J10" s="44"/>
    </row>
    <row r="11" spans="1:10" x14ac:dyDescent="0.2">
      <c r="A11" s="39"/>
      <c r="B11" s="39"/>
      <c r="C11" s="39"/>
      <c r="D11" s="39"/>
      <c r="E11" s="39"/>
      <c r="F11" s="39"/>
      <c r="G11" s="39"/>
      <c r="H11" s="39"/>
      <c r="I11" s="39"/>
      <c r="J11" s="44"/>
    </row>
    <row r="12" spans="1:10" x14ac:dyDescent="0.2">
      <c r="A12" s="39"/>
      <c r="B12" s="39"/>
      <c r="C12" s="39"/>
      <c r="D12" s="39"/>
      <c r="E12" s="39"/>
      <c r="F12" s="39"/>
      <c r="G12" s="39"/>
      <c r="H12" s="39"/>
      <c r="I12" s="39"/>
      <c r="J12" s="44"/>
    </row>
    <row r="13" spans="1:10" x14ac:dyDescent="0.2">
      <c r="A13" s="39"/>
      <c r="B13" s="39"/>
      <c r="C13" s="39"/>
      <c r="D13" s="39"/>
      <c r="E13" s="39"/>
      <c r="F13" s="39"/>
      <c r="G13" s="39"/>
      <c r="H13" s="39"/>
      <c r="I13" s="39"/>
      <c r="J13" s="44"/>
    </row>
    <row r="14" spans="1:10" x14ac:dyDescent="0.2">
      <c r="A14" s="39"/>
      <c r="B14" s="39"/>
      <c r="C14" s="39"/>
      <c r="D14" s="39"/>
      <c r="E14" s="39"/>
      <c r="F14" s="39"/>
      <c r="G14" s="39"/>
      <c r="H14" s="39"/>
      <c r="I14" s="39"/>
      <c r="J14" s="44"/>
    </row>
    <row r="15" spans="1:10" x14ac:dyDescent="0.2">
      <c r="A15" s="39"/>
      <c r="B15" s="39"/>
      <c r="C15" s="39"/>
      <c r="D15" s="39"/>
      <c r="E15" s="39"/>
      <c r="F15" s="39"/>
      <c r="G15" s="39"/>
      <c r="H15" s="39"/>
      <c r="I15" s="39"/>
      <c r="J15" s="44"/>
    </row>
    <row r="16" spans="1:10" x14ac:dyDescent="0.2">
      <c r="A16" s="39"/>
      <c r="B16" s="39"/>
      <c r="C16" s="39"/>
      <c r="D16" s="39"/>
      <c r="E16" s="39"/>
      <c r="F16" s="39"/>
      <c r="G16" s="39"/>
      <c r="H16" s="39"/>
      <c r="I16" s="39"/>
      <c r="J16" s="44"/>
    </row>
    <row r="17" spans="1:10" x14ac:dyDescent="0.2">
      <c r="A17" s="39"/>
      <c r="B17" s="39"/>
      <c r="C17" s="39"/>
      <c r="D17" s="39"/>
      <c r="E17" s="39"/>
      <c r="F17" s="39"/>
      <c r="G17" s="39"/>
      <c r="H17" s="39"/>
      <c r="I17" s="39"/>
      <c r="J17" s="44"/>
    </row>
    <row r="18" spans="1:10" x14ac:dyDescent="0.2">
      <c r="A18" s="39"/>
      <c r="B18" s="39"/>
      <c r="C18" s="39"/>
      <c r="D18" s="39"/>
      <c r="E18" s="39"/>
      <c r="F18" s="39"/>
      <c r="G18" s="39"/>
      <c r="H18" s="39"/>
      <c r="I18" s="39"/>
      <c r="J18" s="44"/>
    </row>
    <row r="19" spans="1:10" x14ac:dyDescent="0.2">
      <c r="A19" s="39"/>
      <c r="B19" s="39"/>
      <c r="C19" s="39"/>
      <c r="D19" s="39"/>
      <c r="E19" s="39"/>
      <c r="F19" s="39"/>
      <c r="G19" s="39"/>
      <c r="H19" s="39"/>
      <c r="I19" s="39"/>
      <c r="J19" s="44"/>
    </row>
    <row r="20" spans="1:10" x14ac:dyDescent="0.2">
      <c r="A20" s="39"/>
      <c r="B20" s="39"/>
      <c r="C20" s="39"/>
      <c r="D20" s="39"/>
      <c r="E20" s="39"/>
      <c r="F20" s="39"/>
      <c r="G20" s="39"/>
      <c r="H20" s="39"/>
      <c r="I20" s="39"/>
      <c r="J20" s="44"/>
    </row>
    <row r="21" spans="1:10" x14ac:dyDescent="0.2">
      <c r="A21" s="39"/>
      <c r="B21" s="39"/>
      <c r="C21" s="39"/>
      <c r="D21" s="39"/>
      <c r="E21" s="39"/>
      <c r="F21" s="39"/>
      <c r="G21" s="39"/>
      <c r="H21" s="39"/>
      <c r="I21" s="39"/>
      <c r="J21" s="44"/>
    </row>
    <row r="22" spans="1:10" x14ac:dyDescent="0.2">
      <c r="A22" s="39"/>
      <c r="B22" s="39"/>
      <c r="C22" s="39"/>
      <c r="D22" s="39"/>
      <c r="E22" s="39"/>
      <c r="F22" s="39"/>
      <c r="G22" s="39"/>
      <c r="H22" s="39"/>
      <c r="I22" s="39"/>
      <c r="J22" s="44"/>
    </row>
    <row r="23" spans="1:10" x14ac:dyDescent="0.2">
      <c r="A23" s="39"/>
      <c r="B23" s="39"/>
      <c r="C23" s="39"/>
      <c r="D23" s="39"/>
      <c r="E23" s="39"/>
      <c r="F23" s="39"/>
      <c r="G23" s="39"/>
      <c r="H23" s="39"/>
      <c r="I23" s="39"/>
      <c r="J23" s="44"/>
    </row>
    <row r="24" spans="1:10" x14ac:dyDescent="0.2">
      <c r="A24" s="39"/>
      <c r="B24" s="39"/>
      <c r="C24" s="39"/>
      <c r="D24" s="39"/>
      <c r="E24" s="39"/>
      <c r="F24" s="39"/>
      <c r="G24" s="39"/>
      <c r="H24" s="39"/>
      <c r="I24" s="39"/>
      <c r="J24" s="44"/>
    </row>
    <row r="25" spans="1:10" x14ac:dyDescent="0.2">
      <c r="A25" s="39"/>
      <c r="B25" s="39"/>
      <c r="C25" s="39"/>
      <c r="D25" s="39"/>
      <c r="E25" s="39"/>
      <c r="F25" s="39"/>
      <c r="G25" s="39"/>
      <c r="H25" s="39"/>
      <c r="I25" s="39"/>
      <c r="J25" s="44"/>
    </row>
    <row r="26" spans="1:10" ht="13.5" thickBot="1" x14ac:dyDescent="0.25">
      <c r="A26" s="45"/>
      <c r="B26" s="45"/>
      <c r="C26" s="45"/>
      <c r="D26" s="45"/>
      <c r="E26" s="45"/>
      <c r="F26" s="45"/>
      <c r="G26" s="45"/>
      <c r="H26" s="45"/>
      <c r="I26" s="45"/>
      <c r="J26" s="46"/>
    </row>
    <row r="27" spans="1:10" ht="13.5" thickTop="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9"/>
  <sheetViews>
    <sheetView workbookViewId="0">
      <selection activeCell="D30" sqref="D30"/>
    </sheetView>
  </sheetViews>
  <sheetFormatPr defaultRowHeight="12.75" x14ac:dyDescent="0.2"/>
  <sheetData>
    <row r="1" spans="1:9" x14ac:dyDescent="0.2">
      <c r="A1" s="39"/>
      <c r="B1" s="39"/>
      <c r="C1" s="39"/>
      <c r="D1" s="39"/>
      <c r="E1" s="39"/>
      <c r="F1" s="39"/>
      <c r="G1" s="39"/>
      <c r="H1" s="39"/>
      <c r="I1" s="44"/>
    </row>
    <row r="2" spans="1:9" x14ac:dyDescent="0.2">
      <c r="A2" s="39"/>
      <c r="B2" s="39"/>
      <c r="C2" s="39"/>
      <c r="D2" s="39"/>
      <c r="E2" s="39"/>
      <c r="F2" s="39"/>
      <c r="G2" s="39"/>
      <c r="H2" s="39"/>
      <c r="I2" s="44"/>
    </row>
    <row r="3" spans="1:9" x14ac:dyDescent="0.2">
      <c r="A3" s="39"/>
      <c r="B3" s="39"/>
      <c r="C3" s="39"/>
      <c r="D3" s="39"/>
      <c r="E3" s="39"/>
      <c r="F3" s="39"/>
      <c r="G3" s="39"/>
      <c r="H3" s="39"/>
      <c r="I3" s="44"/>
    </row>
    <row r="4" spans="1:9" x14ac:dyDescent="0.2">
      <c r="A4" s="39"/>
      <c r="B4" s="39"/>
      <c r="C4" s="39"/>
      <c r="D4" s="39"/>
      <c r="E4" s="39"/>
      <c r="F4" s="39"/>
      <c r="G4" s="39"/>
      <c r="H4" s="39"/>
      <c r="I4" s="44"/>
    </row>
    <row r="5" spans="1:9" x14ac:dyDescent="0.2">
      <c r="A5" s="39"/>
      <c r="B5" s="39"/>
      <c r="C5" s="39"/>
      <c r="D5" s="39"/>
      <c r="E5" s="39"/>
      <c r="F5" s="39"/>
      <c r="G5" s="39"/>
      <c r="H5" s="39"/>
      <c r="I5" s="44"/>
    </row>
    <row r="6" spans="1:9" x14ac:dyDescent="0.2">
      <c r="A6" s="39"/>
      <c r="B6" s="39"/>
      <c r="C6" s="39"/>
      <c r="D6" s="39"/>
      <c r="E6" s="39"/>
      <c r="F6" s="39"/>
      <c r="G6" s="39"/>
      <c r="H6" s="39"/>
      <c r="I6" s="44"/>
    </row>
    <row r="7" spans="1:9" x14ac:dyDescent="0.2">
      <c r="A7" s="39"/>
      <c r="B7" s="39"/>
      <c r="C7" s="39"/>
      <c r="D7" s="39"/>
      <c r="E7" s="39"/>
      <c r="F7" s="39"/>
      <c r="G7" s="39"/>
      <c r="H7" s="39"/>
      <c r="I7" s="44"/>
    </row>
    <row r="8" spans="1:9" x14ac:dyDescent="0.2">
      <c r="A8" s="39"/>
      <c r="B8" s="39"/>
      <c r="C8" s="39"/>
      <c r="D8" s="39"/>
      <c r="E8" s="39"/>
      <c r="F8" s="39"/>
      <c r="G8" s="39"/>
      <c r="H8" s="39"/>
      <c r="I8" s="44"/>
    </row>
    <row r="9" spans="1:9" x14ac:dyDescent="0.2">
      <c r="A9" s="39"/>
      <c r="B9" s="39"/>
      <c r="C9" s="39"/>
      <c r="D9" s="39"/>
      <c r="E9" s="39"/>
      <c r="F9" s="39"/>
      <c r="G9" s="39"/>
      <c r="H9" s="39"/>
      <c r="I9" s="44"/>
    </row>
    <row r="10" spans="1:9" x14ac:dyDescent="0.2">
      <c r="A10" s="39"/>
      <c r="B10" s="39"/>
      <c r="C10" s="39"/>
      <c r="D10" s="39"/>
      <c r="E10" s="39"/>
      <c r="F10" s="39"/>
      <c r="G10" s="39"/>
      <c r="H10" s="39"/>
      <c r="I10" s="44"/>
    </row>
    <row r="11" spans="1:9" x14ac:dyDescent="0.2">
      <c r="A11" s="39"/>
      <c r="B11" s="39"/>
      <c r="C11" s="39"/>
      <c r="D11" s="39"/>
      <c r="E11" s="39"/>
      <c r="F11" s="39"/>
      <c r="G11" s="39"/>
      <c r="H11" s="39"/>
      <c r="I11" s="44"/>
    </row>
    <row r="12" spans="1:9" x14ac:dyDescent="0.2">
      <c r="A12" s="39"/>
      <c r="B12" s="39"/>
      <c r="C12" s="39"/>
      <c r="D12" s="39"/>
      <c r="E12" s="39"/>
      <c r="F12" s="39"/>
      <c r="G12" s="39"/>
      <c r="H12" s="39"/>
      <c r="I12" s="44"/>
    </row>
    <row r="13" spans="1:9" x14ac:dyDescent="0.2">
      <c r="A13" s="39"/>
      <c r="B13" s="39"/>
      <c r="C13" s="39"/>
      <c r="D13" s="39"/>
      <c r="E13" s="39"/>
      <c r="F13" s="39"/>
      <c r="G13" s="39"/>
      <c r="H13" s="39"/>
      <c r="I13" s="44"/>
    </row>
    <row r="14" spans="1:9" x14ac:dyDescent="0.2">
      <c r="A14" s="39"/>
      <c r="B14" s="39"/>
      <c r="C14" s="39"/>
      <c r="D14" s="39"/>
      <c r="E14" s="39"/>
      <c r="F14" s="39"/>
      <c r="G14" s="39"/>
      <c r="H14" s="39"/>
      <c r="I14" s="44"/>
    </row>
    <row r="15" spans="1:9" x14ac:dyDescent="0.2">
      <c r="A15" s="39"/>
      <c r="B15" s="39"/>
      <c r="C15" s="39"/>
      <c r="D15" s="39"/>
      <c r="E15" s="39"/>
      <c r="F15" s="39"/>
      <c r="G15" s="39"/>
      <c r="H15" s="39"/>
      <c r="I15" s="44"/>
    </row>
    <row r="16" spans="1:9" x14ac:dyDescent="0.2">
      <c r="A16" s="39"/>
      <c r="B16" s="39"/>
      <c r="C16" s="39"/>
      <c r="D16" s="39"/>
      <c r="E16" s="39"/>
      <c r="F16" s="39"/>
      <c r="G16" s="39"/>
      <c r="H16" s="39"/>
      <c r="I16" s="44"/>
    </row>
    <row r="17" spans="1:9" x14ac:dyDescent="0.2">
      <c r="A17" s="39"/>
      <c r="B17" s="39"/>
      <c r="C17" s="39"/>
      <c r="D17" s="39"/>
      <c r="E17" s="39"/>
      <c r="F17" s="39"/>
      <c r="G17" s="39"/>
      <c r="H17" s="39"/>
      <c r="I17" s="44"/>
    </row>
    <row r="18" spans="1:9" ht="13.5" thickBot="1" x14ac:dyDescent="0.25">
      <c r="A18" s="45"/>
      <c r="B18" s="45"/>
      <c r="C18" s="45"/>
      <c r="D18" s="45"/>
      <c r="E18" s="45"/>
      <c r="F18" s="45"/>
      <c r="G18" s="45"/>
      <c r="H18" s="45"/>
      <c r="I18" s="46"/>
    </row>
    <row r="19" spans="1:9" ht="13.5" thickTop="1" x14ac:dyDescent="0.2"/>
  </sheetData>
  <phoneticPr fontId="0" type="noConversion"/>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29</vt:i4>
      </vt:variant>
    </vt:vector>
  </HeadingPairs>
  <TitlesOfParts>
    <vt:vector size="32" baseType="lpstr">
      <vt:lpstr>Black-Scholes-Merton &amp; Binomial</vt:lpstr>
      <vt:lpstr>Instructions</vt:lpstr>
      <vt:lpstr>About</vt:lpstr>
      <vt:lpstr>dvec</vt:lpstr>
      <vt:lpstr>mcruns</vt:lpstr>
      <vt:lpstr>mcsec</vt:lpstr>
      <vt:lpstr>mcsep</vt:lpstr>
      <vt:lpstr>nsteps</vt:lpstr>
      <vt:lpstr>pvdisdiv</vt:lpstr>
      <vt:lpstr>rf</vt:lpstr>
      <vt:lpstr>S</vt:lpstr>
      <vt:lpstr>sac</vt:lpstr>
      <vt:lpstr>sacd</vt:lpstr>
      <vt:lpstr>sacg</vt:lpstr>
      <vt:lpstr>sact</vt:lpstr>
      <vt:lpstr>sap</vt:lpstr>
      <vt:lpstr>sapd</vt:lpstr>
      <vt:lpstr>sapg</vt:lpstr>
      <vt:lpstr>sapt</vt:lpstr>
      <vt:lpstr>sec</vt:lpstr>
      <vt:lpstr>secd</vt:lpstr>
      <vt:lpstr>secg</vt:lpstr>
      <vt:lpstr>sect</vt:lpstr>
      <vt:lpstr>sep</vt:lpstr>
      <vt:lpstr>sepd</vt:lpstr>
      <vt:lpstr>sepg</vt:lpstr>
      <vt:lpstr>sept</vt:lpstr>
      <vt:lpstr>sigma</vt:lpstr>
      <vt:lpstr>t</vt:lpstr>
      <vt:lpstr>trfr</vt:lpstr>
      <vt:lpstr>X</vt:lpstr>
      <vt:lpstr>yield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 Chance</dc:creator>
  <cp:lastModifiedBy>Don Chance</cp:lastModifiedBy>
  <cp:lastPrinted>1999-06-29T01:18:34Z</cp:lastPrinted>
  <dcterms:created xsi:type="dcterms:W3CDTF">1996-01-29T14:49:34Z</dcterms:created>
  <dcterms:modified xsi:type="dcterms:W3CDTF">2014-03-18T19:03:50Z</dcterms:modified>
</cp:coreProperties>
</file>