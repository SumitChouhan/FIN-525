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75" windowWidth="9360" windowHeight="5205" firstSheet="1" activeTab="1"/>
  </bookViews>
  <sheets>
    <sheet name="Module1" sheetId="1" state="veryHidden" r:id=""/>
    <sheet name="Boundary Conditions" sheetId="2" r:id="rId1"/>
    <sheet name="Instructions" sheetId="4" r:id="rId2"/>
    <sheet name="About" sheetId="3" r:id="rId3"/>
  </sheets>
  <functionGroups builtInGroupCount="17"/>
  <externalReferences>
    <externalReference r:id="rId4"/>
  </externalReferences>
  <definedNames>
    <definedName name="rfrdc">'[1]Black-Scholes &amp; Binomial'!#REF!</definedName>
  </definedNames>
  <calcPr calcId="145621"/>
</workbook>
</file>

<file path=xl/calcChain.xml><?xml version="1.0" encoding="utf-8"?>
<calcChain xmlns="http://schemas.openxmlformats.org/spreadsheetml/2006/main">
  <c r="D37" i="2" l="1"/>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B106" i="2"/>
  <c r="D78" i="2"/>
  <c r="C48" i="2"/>
  <c r="D74" i="2"/>
  <c r="B94" i="2"/>
  <c r="D54" i="2"/>
  <c r="C132" i="2"/>
  <c r="B130" i="2"/>
  <c r="D126" i="2"/>
  <c r="D80" i="2"/>
  <c r="D122" i="2"/>
  <c r="B118" i="2"/>
  <c r="D102" i="2"/>
  <c r="D56" i="2"/>
  <c r="D98" i="2"/>
  <c r="C44" i="2"/>
  <c r="C102" i="2"/>
  <c r="C66" i="2"/>
  <c r="D75" i="2"/>
  <c r="B90" i="2"/>
  <c r="D46" i="2"/>
  <c r="C128" i="2"/>
  <c r="D42" i="2"/>
  <c r="B78" i="2"/>
  <c r="C38" i="2"/>
  <c r="C116" i="2"/>
  <c r="B114" i="2"/>
  <c r="D94" i="2"/>
  <c r="D48" i="2"/>
  <c r="D90" i="2"/>
  <c r="B102" i="2"/>
  <c r="D70" i="2"/>
  <c r="B74" i="2"/>
  <c r="C135" i="2"/>
  <c r="C112" i="2"/>
  <c r="C133" i="2"/>
  <c r="B62" i="2"/>
  <c r="C123" i="2"/>
  <c r="C100" i="2"/>
  <c r="B98" i="2"/>
  <c r="D62" i="2"/>
  <c r="C136" i="2"/>
  <c r="D58" i="2"/>
  <c r="B86" i="2"/>
  <c r="D38" i="2"/>
  <c r="C124" i="2"/>
  <c r="C50" i="2"/>
  <c r="C106" i="2"/>
  <c r="D57" i="2"/>
  <c r="D117" i="2"/>
  <c r="C70" i="2"/>
  <c r="D119" i="2"/>
  <c r="C47" i="2"/>
  <c r="B70" i="2"/>
  <c r="C81" i="2"/>
  <c r="B111" i="2"/>
  <c r="C99" i="2"/>
  <c r="D114" i="2"/>
  <c r="D123" i="2"/>
  <c r="D59" i="2"/>
  <c r="C121" i="2"/>
  <c r="D88" i="2"/>
  <c r="D60" i="2"/>
  <c r="C82" i="2"/>
  <c r="D64" i="2"/>
  <c r="D40" i="2"/>
  <c r="D134" i="2"/>
  <c r="C110" i="2"/>
  <c r="B58" i="2"/>
  <c r="C107" i="2"/>
  <c r="C131" i="2"/>
  <c r="C39" i="2"/>
  <c r="C55" i="2"/>
  <c r="C56" i="2"/>
  <c r="C58" i="2"/>
  <c r="B121" i="2"/>
  <c r="B75" i="2"/>
  <c r="C101" i="2"/>
  <c r="B63" i="2"/>
  <c r="D39" i="2"/>
  <c r="D111" i="2"/>
  <c r="B129" i="2"/>
  <c r="D87" i="2"/>
  <c r="D82" i="2"/>
  <c r="D76" i="2"/>
  <c r="B61" i="2"/>
  <c r="B82" i="2"/>
  <c r="B104" i="2"/>
  <c r="D131" i="2"/>
  <c r="B89" i="2"/>
  <c r="B71" i="2"/>
  <c r="C134" i="2"/>
  <c r="B110" i="2"/>
  <c r="D66" i="2"/>
  <c r="C96" i="2"/>
  <c r="C129" i="2"/>
  <c r="D135" i="2"/>
  <c r="B48" i="2"/>
  <c r="C103" i="2"/>
  <c r="C80" i="2"/>
  <c r="C73" i="2"/>
  <c r="B84" i="2"/>
  <c r="C91" i="2"/>
  <c r="C68" i="2"/>
  <c r="B66" i="2"/>
  <c r="C127" i="2"/>
  <c r="C104" i="2"/>
  <c r="C125" i="2"/>
  <c r="B54" i="2"/>
  <c r="C115" i="2"/>
  <c r="C92" i="2"/>
  <c r="C85" i="2"/>
  <c r="C74" i="2"/>
  <c r="D91" i="2"/>
  <c r="C126" i="2"/>
  <c r="B136" i="2"/>
  <c r="B68" i="2"/>
  <c r="C87" i="2"/>
  <c r="C64" i="2"/>
  <c r="B124" i="2"/>
  <c r="B45" i="2"/>
  <c r="C75" i="2"/>
  <c r="C51" i="2"/>
  <c r="B47" i="2"/>
  <c r="C111" i="2"/>
  <c r="C88" i="2"/>
  <c r="C97" i="2"/>
  <c r="B40" i="2"/>
  <c r="B120" i="2"/>
  <c r="B38" i="2"/>
  <c r="C71" i="2"/>
  <c r="C43" i="2"/>
  <c r="B108" i="2"/>
  <c r="B127" i="2"/>
  <c r="C59" i="2"/>
  <c r="D121" i="2"/>
  <c r="B50" i="2"/>
  <c r="C95" i="2"/>
  <c r="C72" i="2"/>
  <c r="B132" i="2"/>
  <c r="B51" i="2"/>
  <c r="C83" i="2"/>
  <c r="C60" i="2"/>
  <c r="D89" i="2"/>
  <c r="D133" i="2"/>
  <c r="D50" i="2"/>
  <c r="C62" i="2"/>
  <c r="D110" i="2"/>
  <c r="D73" i="2"/>
  <c r="B39" i="2"/>
  <c r="D55" i="2"/>
  <c r="D68" i="2"/>
  <c r="B128" i="2"/>
  <c r="C76" i="2"/>
  <c r="C94" i="2"/>
  <c r="C77" i="2"/>
  <c r="B125" i="2"/>
  <c r="B113" i="2"/>
  <c r="D137" i="2"/>
  <c r="D85" i="2"/>
  <c r="D125" i="2"/>
  <c r="D106" i="2"/>
  <c r="B44" i="2"/>
  <c r="C40" i="2"/>
  <c r="D108" i="2"/>
  <c r="C119" i="2"/>
  <c r="C84" i="2"/>
  <c r="C108" i="2"/>
  <c r="D44" i="2"/>
  <c r="B92" i="2"/>
  <c r="B135" i="2"/>
  <c r="C61" i="2"/>
  <c r="B88" i="2"/>
  <c r="B107" i="2"/>
  <c r="D127" i="2"/>
  <c r="D81" i="2"/>
  <c r="B137" i="2"/>
  <c r="B95" i="2"/>
  <c r="D103" i="2"/>
  <c r="B112" i="2"/>
  <c r="B131" i="2"/>
  <c r="C63" i="2"/>
  <c r="D129" i="2"/>
  <c r="B100" i="2"/>
  <c r="B119" i="2"/>
  <c r="C49" i="2"/>
  <c r="D105" i="2"/>
  <c r="C57" i="2"/>
  <c r="C52" i="2"/>
  <c r="D69" i="2"/>
  <c r="C105" i="2"/>
  <c r="B133" i="2"/>
  <c r="B91" i="2"/>
  <c r="D95" i="2"/>
  <c r="D49" i="2"/>
  <c r="B79" i="2"/>
  <c r="D71" i="2"/>
  <c r="B96" i="2"/>
  <c r="B115" i="2"/>
  <c r="C41" i="2"/>
  <c r="D97" i="2"/>
  <c r="B76" i="2"/>
  <c r="B103" i="2"/>
  <c r="B117" i="2"/>
  <c r="D63" i="2"/>
  <c r="B105" i="2"/>
  <c r="B60" i="2"/>
  <c r="B99" i="2"/>
  <c r="D65" i="2"/>
  <c r="B87" i="2"/>
  <c r="D41" i="2"/>
  <c r="C78" i="2"/>
  <c r="D132" i="2"/>
  <c r="C122" i="2"/>
  <c r="C93" i="2"/>
  <c r="C79" i="2"/>
  <c r="B101" i="2"/>
  <c r="B83" i="2"/>
  <c r="D130" i="2"/>
  <c r="C54" i="2"/>
  <c r="D112" i="2"/>
  <c r="C37" i="2"/>
  <c r="C46" i="2"/>
  <c r="D100" i="2"/>
  <c r="B42" i="2"/>
  <c r="B64" i="2"/>
  <c r="D47" i="2"/>
  <c r="D99" i="2"/>
  <c r="C130" i="2"/>
  <c r="D128" i="2"/>
  <c r="D104" i="2"/>
  <c r="C65" i="2"/>
  <c r="B46" i="2"/>
  <c r="D118" i="2"/>
  <c r="D61" i="2"/>
  <c r="D120" i="2"/>
  <c r="C98" i="2"/>
  <c r="C120" i="2"/>
  <c r="D124" i="2"/>
  <c r="C67" i="2"/>
  <c r="D86" i="2"/>
  <c r="C113" i="2"/>
  <c r="B52" i="2"/>
  <c r="C118" i="2"/>
  <c r="C45" i="2"/>
  <c r="B97" i="2"/>
  <c r="B69" i="2"/>
  <c r="B49" i="2"/>
  <c r="D45" i="2"/>
  <c r="D92" i="2"/>
  <c r="D113" i="2"/>
  <c r="C117" i="2"/>
  <c r="C137" i="2"/>
  <c r="B85" i="2"/>
  <c r="B67" i="2"/>
  <c r="B56" i="2"/>
  <c r="B53" i="2"/>
  <c r="B37" i="2"/>
  <c r="B72" i="2"/>
  <c r="D116" i="2"/>
  <c r="B116" i="2"/>
  <c r="B122" i="2"/>
  <c r="D84" i="2"/>
  <c r="C114" i="2"/>
  <c r="D43" i="2"/>
  <c r="D136" i="2"/>
  <c r="C89" i="2"/>
  <c r="C69" i="2"/>
  <c r="D52" i="2"/>
  <c r="D67" i="2"/>
  <c r="B93" i="2"/>
  <c r="B81" i="2"/>
  <c r="D96" i="2"/>
  <c r="D72" i="2"/>
  <c r="D107" i="2"/>
  <c r="D51" i="2"/>
  <c r="C86" i="2"/>
  <c r="C90" i="2"/>
  <c r="B59" i="2"/>
  <c r="C109" i="2"/>
  <c r="B134" i="2"/>
  <c r="C42" i="2"/>
  <c r="D93" i="2"/>
  <c r="B109" i="2"/>
  <c r="C53" i="2"/>
  <c r="B57" i="2"/>
  <c r="B80" i="2"/>
  <c r="B77" i="2"/>
  <c r="B65" i="2"/>
  <c r="D101" i="2"/>
  <c r="B41" i="2"/>
  <c r="D77" i="2"/>
  <c r="D115" i="2"/>
  <c r="B73" i="2"/>
  <c r="B55" i="2"/>
  <c r="D53" i="2"/>
  <c r="D83" i="2"/>
  <c r="B126" i="2"/>
  <c r="B43" i="2"/>
  <c r="D109" i="2"/>
  <c r="D79" i="2"/>
  <c r="B123" i="2"/>
</calcChain>
</file>

<file path=xl/sharedStrings.xml><?xml version="1.0" encoding="utf-8"?>
<sst xmlns="http://schemas.openxmlformats.org/spreadsheetml/2006/main" count="17" uniqueCount="14">
  <si>
    <t>=</t>
  </si>
  <si>
    <t>Risk-free rate (%)</t>
  </si>
  <si>
    <t>Choice</t>
  </si>
  <si>
    <t>S</t>
  </si>
  <si>
    <t>Intrinsic V</t>
  </si>
  <si>
    <t>Lower Bound</t>
  </si>
  <si>
    <t>Select option type</t>
  </si>
  <si>
    <t>European Call</t>
  </si>
  <si>
    <t>European Put</t>
  </si>
  <si>
    <t>Option Price</t>
  </si>
  <si>
    <t>Exercise price (0 to 200)</t>
  </si>
  <si>
    <t>Days to Expiration (0 to 200)</t>
  </si>
  <si>
    <t>Volatility % (0 - 100)</t>
  </si>
  <si>
    <t>Max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</si>
</sst>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5" formatCode="0.0000"/>
  </numFmts>
  <fonts count="5" x14ac:knownFonts="1">
    <font>
      <sz val="10"/>
      <name val="Arial"/>
    </font>
    <font>
      <b/>
      <sz val="10"/>
      <name val="Arial"/>
    </font>
    <font>
      <sz val="10"/>
      <name val="Arial"/>
      <family val="2"/>
    </font>
    <font>
      <sz val="8"/>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00B0F0"/>
        <bgColor indexed="64"/>
      </patternFill>
    </fill>
  </fills>
  <borders count="9">
    <border>
      <left/>
      <right/>
      <top/>
      <bottom/>
      <diagonal/>
    </border>
    <border>
      <left/>
      <right style="thin">
        <color indexed="64"/>
      </right>
      <top style="thick">
        <color indexed="64"/>
      </top>
      <bottom/>
      <diagonal/>
    </border>
    <border>
      <left/>
      <right style="thin">
        <color indexed="64"/>
      </right>
      <top/>
      <bottom/>
      <diagonal/>
    </border>
    <border>
      <left style="double">
        <color indexed="64"/>
      </left>
      <right style="double">
        <color indexed="64"/>
      </right>
      <top style="double">
        <color indexed="64"/>
      </top>
      <bottom style="double">
        <color indexed="64"/>
      </bottom>
      <diagonal/>
    </border>
    <border>
      <left/>
      <right/>
      <top/>
      <bottom style="thin">
        <color indexed="64"/>
      </bottom>
      <diagonal/>
    </border>
    <border>
      <left/>
      <right style="thin">
        <color indexed="64"/>
      </right>
      <top/>
      <bottom style="thin">
        <color indexed="64"/>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s>
  <cellStyleXfs count="2">
    <xf numFmtId="0" fontId="0" fillId="0" borderId="0"/>
    <xf numFmtId="9" fontId="2" fillId="0" borderId="0" applyFont="0" applyFill="0" applyBorder="0" applyAlignment="0" applyProtection="0"/>
  </cellStyleXfs>
  <cellXfs count="18">
    <xf numFmtId="0" fontId="0" fillId="0" borderId="0" xfId="0"/>
    <xf numFmtId="0" fontId="0" fillId="0" borderId="0" xfId="0" applyAlignment="1">
      <alignment horizontal="right"/>
    </xf>
    <xf numFmtId="165" fontId="0" fillId="0" borderId="0" xfId="0" applyNumberFormat="1"/>
    <xf numFmtId="1" fontId="0" fillId="0" borderId="0" xfId="1" applyNumberFormat="1" applyFont="1"/>
    <xf numFmtId="2" fontId="0" fillId="0" borderId="0" xfId="0" applyNumberFormat="1"/>
    <xf numFmtId="0" fontId="1" fillId="2" borderId="0" xfId="0" applyFont="1" applyFill="1"/>
    <xf numFmtId="0" fontId="0" fillId="2" borderId="0" xfId="0" applyFill="1"/>
    <xf numFmtId="0" fontId="0" fillId="2" borderId="1" xfId="0" applyFill="1" applyBorder="1"/>
    <xf numFmtId="0" fontId="0" fillId="2" borderId="2" xfId="0" applyFill="1" applyBorder="1"/>
    <xf numFmtId="0" fontId="1" fillId="2" borderId="3" xfId="0" applyFont="1" applyFill="1" applyBorder="1"/>
    <xf numFmtId="1" fontId="4" fillId="2" borderId="0" xfId="1" applyNumberFormat="1" applyFont="1" applyFill="1"/>
    <xf numFmtId="0" fontId="0" fillId="2" borderId="4" xfId="0" applyFill="1" applyBorder="1"/>
    <xf numFmtId="1" fontId="4" fillId="2" borderId="4" xfId="1" applyNumberFormat="1" applyFont="1" applyFill="1" applyBorder="1"/>
    <xf numFmtId="0" fontId="0" fillId="2" borderId="5" xfId="0" applyFill="1" applyBorder="1"/>
    <xf numFmtId="0" fontId="0" fillId="3" borderId="0" xfId="0" applyFill="1"/>
    <xf numFmtId="0" fontId="0" fillId="3" borderId="6" xfId="0" applyFill="1" applyBorder="1"/>
    <xf numFmtId="0" fontId="0" fillId="3" borderId="7" xfId="0" applyFill="1" applyBorder="1"/>
    <xf numFmtId="0" fontId="0" fillId="3" borderId="8" xfId="0" applyFill="1" applyBorder="1"/>
  </cellXfs>
  <cellStyles count="2">
    <cellStyle name="Normal" xfId="0" builtinId="0"/>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42165478576063"/>
          <c:y val="7.8498293515358364E-2"/>
          <c:w val="0.80340338806580447"/>
          <c:h val="0.61433447098976113"/>
        </c:manualLayout>
      </c:layout>
      <c:lineChart>
        <c:grouping val="standard"/>
        <c:varyColors val="0"/>
        <c:ser>
          <c:idx val="2"/>
          <c:order val="0"/>
          <c:tx>
            <c:v>American Intrinsic Value</c:v>
          </c:tx>
          <c:spPr>
            <a:ln w="38100">
              <a:solidFill>
                <a:srgbClr val="000000"/>
              </a:solidFill>
              <a:prstDash val="solid"/>
            </a:ln>
          </c:spPr>
          <c:marker>
            <c:symbol val="none"/>
          </c:marker>
          <c:cat>
            <c:numRef>
              <c:f>'Boundary Conditions'!$A$37:$A$137</c:f>
              <c:numCache>
                <c:formatCode>0.00</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numCache>
            </c:numRef>
          </c:cat>
          <c:val>
            <c:numRef>
              <c:f>'Boundary Conditions'!$B$37:$B$137</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4</c:v>
                </c:pt>
                <c:pt idx="53">
                  <c:v>6</c:v>
                </c:pt>
                <c:pt idx="54">
                  <c:v>8</c:v>
                </c:pt>
                <c:pt idx="55">
                  <c:v>10</c:v>
                </c:pt>
                <c:pt idx="56">
                  <c:v>12</c:v>
                </c:pt>
                <c:pt idx="57">
                  <c:v>14</c:v>
                </c:pt>
                <c:pt idx="58">
                  <c:v>16</c:v>
                </c:pt>
                <c:pt idx="59">
                  <c:v>18</c:v>
                </c:pt>
                <c:pt idx="60">
                  <c:v>20</c:v>
                </c:pt>
                <c:pt idx="61">
                  <c:v>22</c:v>
                </c:pt>
                <c:pt idx="62">
                  <c:v>24</c:v>
                </c:pt>
                <c:pt idx="63">
                  <c:v>26</c:v>
                </c:pt>
                <c:pt idx="64">
                  <c:v>28</c:v>
                </c:pt>
                <c:pt idx="65">
                  <c:v>30</c:v>
                </c:pt>
                <c:pt idx="66">
                  <c:v>32</c:v>
                </c:pt>
                <c:pt idx="67">
                  <c:v>34</c:v>
                </c:pt>
                <c:pt idx="68">
                  <c:v>36</c:v>
                </c:pt>
                <c:pt idx="69">
                  <c:v>38</c:v>
                </c:pt>
                <c:pt idx="70">
                  <c:v>40</c:v>
                </c:pt>
                <c:pt idx="71">
                  <c:v>42</c:v>
                </c:pt>
                <c:pt idx="72">
                  <c:v>44</c:v>
                </c:pt>
                <c:pt idx="73">
                  <c:v>46</c:v>
                </c:pt>
                <c:pt idx="74">
                  <c:v>48</c:v>
                </c:pt>
                <c:pt idx="75">
                  <c:v>50</c:v>
                </c:pt>
                <c:pt idx="76">
                  <c:v>52</c:v>
                </c:pt>
                <c:pt idx="77">
                  <c:v>54</c:v>
                </c:pt>
                <c:pt idx="78">
                  <c:v>56</c:v>
                </c:pt>
                <c:pt idx="79">
                  <c:v>58</c:v>
                </c:pt>
                <c:pt idx="80">
                  <c:v>60</c:v>
                </c:pt>
                <c:pt idx="81">
                  <c:v>62</c:v>
                </c:pt>
                <c:pt idx="82">
                  <c:v>64</c:v>
                </c:pt>
                <c:pt idx="83">
                  <c:v>66</c:v>
                </c:pt>
                <c:pt idx="84">
                  <c:v>68</c:v>
                </c:pt>
                <c:pt idx="85">
                  <c:v>70</c:v>
                </c:pt>
                <c:pt idx="86">
                  <c:v>72</c:v>
                </c:pt>
                <c:pt idx="87">
                  <c:v>74</c:v>
                </c:pt>
                <c:pt idx="88">
                  <c:v>76</c:v>
                </c:pt>
                <c:pt idx="89">
                  <c:v>78</c:v>
                </c:pt>
                <c:pt idx="90">
                  <c:v>80</c:v>
                </c:pt>
                <c:pt idx="91">
                  <c:v>82</c:v>
                </c:pt>
                <c:pt idx="92">
                  <c:v>84</c:v>
                </c:pt>
                <c:pt idx="93">
                  <c:v>86</c:v>
                </c:pt>
                <c:pt idx="94">
                  <c:v>88</c:v>
                </c:pt>
                <c:pt idx="95">
                  <c:v>90</c:v>
                </c:pt>
                <c:pt idx="96">
                  <c:v>92</c:v>
                </c:pt>
                <c:pt idx="97">
                  <c:v>94</c:v>
                </c:pt>
                <c:pt idx="98">
                  <c:v>96</c:v>
                </c:pt>
                <c:pt idx="99">
                  <c:v>98</c:v>
                </c:pt>
                <c:pt idx="100">
                  <c:v>100</c:v>
                </c:pt>
              </c:numCache>
            </c:numRef>
          </c:val>
          <c:smooth val="1"/>
        </c:ser>
        <c:ser>
          <c:idx val="3"/>
          <c:order val="1"/>
          <c:tx>
            <c:v>European Lower Bound</c:v>
          </c:tx>
          <c:spPr>
            <a:ln w="12700">
              <a:solidFill>
                <a:srgbClr val="000000"/>
              </a:solidFill>
              <a:prstDash val="sysDash"/>
            </a:ln>
          </c:spPr>
          <c:marker>
            <c:symbol val="none"/>
          </c:marker>
          <c:cat>
            <c:numRef>
              <c:f>'Boundary Conditions'!$A$37:$A$137</c:f>
              <c:numCache>
                <c:formatCode>0.00</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numCache>
            </c:numRef>
          </c:cat>
          <c:val>
            <c:numRef>
              <c:f>'Boundary Conditions'!$C$37:$C$137</c:f>
              <c:numCache>
                <c:formatCode>0.0000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0.12936290339108325</c:v>
                </c:pt>
                <c:pt idx="49">
                  <c:v>2.1293629033910833</c:v>
                </c:pt>
                <c:pt idx="50">
                  <c:v>4.1293629033910833</c:v>
                </c:pt>
                <c:pt idx="51">
                  <c:v>6.1293629033910833</c:v>
                </c:pt>
                <c:pt idx="52">
                  <c:v>8.1293629033910833</c:v>
                </c:pt>
                <c:pt idx="53">
                  <c:v>10.129362903391083</c:v>
                </c:pt>
                <c:pt idx="54">
                  <c:v>12.129362903391083</c:v>
                </c:pt>
                <c:pt idx="55">
                  <c:v>14.129362903391083</c:v>
                </c:pt>
                <c:pt idx="56">
                  <c:v>16.129362903391083</c:v>
                </c:pt>
                <c:pt idx="57">
                  <c:v>18.129362903391083</c:v>
                </c:pt>
                <c:pt idx="58">
                  <c:v>20.129362903391083</c:v>
                </c:pt>
                <c:pt idx="59">
                  <c:v>22.129362903391083</c:v>
                </c:pt>
                <c:pt idx="60">
                  <c:v>24.129362903391083</c:v>
                </c:pt>
                <c:pt idx="61">
                  <c:v>26.129362903391083</c:v>
                </c:pt>
                <c:pt idx="62">
                  <c:v>28.129362903391083</c:v>
                </c:pt>
                <c:pt idx="63">
                  <c:v>30.129362903391083</c:v>
                </c:pt>
                <c:pt idx="64">
                  <c:v>32.129362903391083</c:v>
                </c:pt>
                <c:pt idx="65">
                  <c:v>34.129362903391083</c:v>
                </c:pt>
                <c:pt idx="66">
                  <c:v>36.129362903391083</c:v>
                </c:pt>
                <c:pt idx="67">
                  <c:v>38.129362903391083</c:v>
                </c:pt>
                <c:pt idx="68">
                  <c:v>40.129362903391083</c:v>
                </c:pt>
                <c:pt idx="69">
                  <c:v>42.129362903391083</c:v>
                </c:pt>
                <c:pt idx="70">
                  <c:v>44.129362903391083</c:v>
                </c:pt>
                <c:pt idx="71">
                  <c:v>46.129362903391083</c:v>
                </c:pt>
                <c:pt idx="72">
                  <c:v>48.129362903391083</c:v>
                </c:pt>
                <c:pt idx="73">
                  <c:v>50.129362903391083</c:v>
                </c:pt>
                <c:pt idx="74">
                  <c:v>52.129362903391083</c:v>
                </c:pt>
                <c:pt idx="75">
                  <c:v>54.129362903391083</c:v>
                </c:pt>
                <c:pt idx="76">
                  <c:v>56.129362903391083</c:v>
                </c:pt>
                <c:pt idx="77">
                  <c:v>58.129362903391083</c:v>
                </c:pt>
                <c:pt idx="78">
                  <c:v>60.129362903391083</c:v>
                </c:pt>
                <c:pt idx="79">
                  <c:v>62.129362903391083</c:v>
                </c:pt>
                <c:pt idx="80">
                  <c:v>64.129362903391083</c:v>
                </c:pt>
                <c:pt idx="81">
                  <c:v>66.129362903391083</c:v>
                </c:pt>
                <c:pt idx="82">
                  <c:v>68.129362903391083</c:v>
                </c:pt>
                <c:pt idx="83">
                  <c:v>70.129362903391083</c:v>
                </c:pt>
                <c:pt idx="84">
                  <c:v>72.129362903391083</c:v>
                </c:pt>
                <c:pt idx="85">
                  <c:v>74.129362903391083</c:v>
                </c:pt>
                <c:pt idx="86">
                  <c:v>76.129362903391083</c:v>
                </c:pt>
                <c:pt idx="87">
                  <c:v>78.129362903391083</c:v>
                </c:pt>
                <c:pt idx="88">
                  <c:v>80.129362903391083</c:v>
                </c:pt>
                <c:pt idx="89">
                  <c:v>82.129362903391083</c:v>
                </c:pt>
                <c:pt idx="90">
                  <c:v>84.129362903391083</c:v>
                </c:pt>
                <c:pt idx="91">
                  <c:v>86.129362903391083</c:v>
                </c:pt>
                <c:pt idx="92">
                  <c:v>88.129362903391083</c:v>
                </c:pt>
                <c:pt idx="93">
                  <c:v>90.129362903391083</c:v>
                </c:pt>
                <c:pt idx="94">
                  <c:v>92.129362903391083</c:v>
                </c:pt>
                <c:pt idx="95">
                  <c:v>94.129362903391083</c:v>
                </c:pt>
                <c:pt idx="96">
                  <c:v>96.129362903391083</c:v>
                </c:pt>
                <c:pt idx="97">
                  <c:v>98.129362903391083</c:v>
                </c:pt>
                <c:pt idx="98">
                  <c:v>100.12936290339108</c:v>
                </c:pt>
                <c:pt idx="99">
                  <c:v>102.12936290339108</c:v>
                </c:pt>
                <c:pt idx="100">
                  <c:v>104.12936290339108</c:v>
                </c:pt>
              </c:numCache>
            </c:numRef>
          </c:val>
          <c:smooth val="1"/>
        </c:ser>
        <c:ser>
          <c:idx val="0"/>
          <c:order val="2"/>
          <c:tx>
            <c:v>European Option Price</c:v>
          </c:tx>
          <c:spPr>
            <a:ln w="12700">
              <a:solidFill>
                <a:srgbClr val="000080"/>
              </a:solidFill>
              <a:prstDash val="solid"/>
            </a:ln>
          </c:spPr>
          <c:marker>
            <c:symbol val="none"/>
          </c:marker>
          <c:cat>
            <c:numRef>
              <c:f>'Boundary Conditions'!$A$37:$A$137</c:f>
              <c:numCache>
                <c:formatCode>0.00</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numCache>
            </c:numRef>
          </c:cat>
          <c:val>
            <c:numRef>
              <c:f>'Boundary Conditions'!$D$37:$D$137</c:f>
              <c:numCache>
                <c:formatCode>0.0000</c:formatCode>
                <c:ptCount val="101"/>
                <c:pt idx="0">
                  <c:v>0</c:v>
                </c:pt>
                <c:pt idx="1">
                  <c:v>3.2646176372459322E-26</c:v>
                </c:pt>
                <c:pt idx="2">
                  <c:v>3.7407302639693676E-18</c:v>
                </c:pt>
                <c:pt idx="3">
                  <c:v>3.9589299077539163E-14</c:v>
                </c:pt>
                <c:pt idx="4">
                  <c:v>1.4015201451313448E-11</c:v>
                </c:pt>
                <c:pt idx="5">
                  <c:v>8.9076610202445942E-10</c:v>
                </c:pt>
                <c:pt idx="6">
                  <c:v>2.046264770102864E-8</c:v>
                </c:pt>
                <c:pt idx="7">
                  <c:v>2.4194816489686218E-7</c:v>
                </c:pt>
                <c:pt idx="8">
                  <c:v>1.8010779564051846E-6</c:v>
                </c:pt>
                <c:pt idx="9">
                  <c:v>9.5622736766920815E-6</c:v>
                </c:pt>
                <c:pt idx="10">
                  <c:v>3.9305757745310892E-5</c:v>
                </c:pt>
                <c:pt idx="11">
                  <c:v>1.3237349545142606E-4</c:v>
                </c:pt>
                <c:pt idx="12">
                  <c:v>3.8035584953708627E-4</c:v>
                </c:pt>
                <c:pt idx="13">
                  <c:v>9.6073013285895813E-4</c:v>
                </c:pt>
                <c:pt idx="14">
                  <c:v>2.1819795342692613E-3</c:v>
                </c:pt>
                <c:pt idx="15">
                  <c:v>4.5344044671124725E-3</c:v>
                </c:pt>
                <c:pt idx="16">
                  <c:v>8.7412610172392796E-3</c:v>
                </c:pt>
                <c:pt idx="17">
                  <c:v>1.580436149705966E-2</c:v>
                </c:pt>
                <c:pt idx="18">
                  <c:v>2.7038831255981499E-2</c:v>
                </c:pt>
                <c:pt idx="19">
                  <c:v>4.4093065010762045E-2</c:v>
                </c:pt>
                <c:pt idx="20">
                  <c:v>6.8951691103740553E-2</c:v>
                </c:pt>
                <c:pt idx="21">
                  <c:v>0.10392117388880495</c:v>
                </c:pt>
                <c:pt idx="22">
                  <c:v>0.15159928873655337</c:v>
                </c:pt>
                <c:pt idx="23">
                  <c:v>0.2148309264295305</c:v>
                </c:pt>
                <c:pt idx="24">
                  <c:v>0.29665346148458016</c:v>
                </c:pt>
                <c:pt idx="25">
                  <c:v>0.40023526762905881</c:v>
                </c:pt>
                <c:pt idx="26">
                  <c:v>0.5288109481407024</c:v>
                </c:pt>
                <c:pt idx="27">
                  <c:v>0.68561655770033836</c:v>
                </c:pt>
                <c:pt idx="28">
                  <c:v>0.87382761878577142</c:v>
                </c:pt>
                <c:pt idx="29">
                  <c:v>1.0965021640505865</c:v>
                </c:pt>
                <c:pt idx="30">
                  <c:v>1.3565304359877599</c:v>
                </c:pt>
                <c:pt idx="31">
                  <c:v>1.65659229831933</c:v>
                </c:pt>
                <c:pt idx="32">
                  <c:v>1.9991228948468081</c:v>
                </c:pt>
                <c:pt idx="33">
                  <c:v>2.3862866510831768</c:v>
                </c:pt>
                <c:pt idx="34">
                  <c:v>2.8199593602691753</c:v>
                </c:pt>
                <c:pt idx="35">
                  <c:v>3.3017178280964092</c:v>
                </c:pt>
                <c:pt idx="36">
                  <c:v>3.832836363501908</c:v>
                </c:pt>
                <c:pt idx="37">
                  <c:v>4.4142892866277279</c:v>
                </c:pt>
                <c:pt idx="38">
                  <c:v>5.0467585681216711</c:v>
                </c:pt>
                <c:pt idx="39">
                  <c:v>5.7306457046894543</c:v>
                </c:pt>
                <c:pt idx="40">
                  <c:v>6.4660869630260933</c:v>
                </c:pt>
                <c:pt idx="41">
                  <c:v>7.252971177872773</c:v>
                </c:pt>
                <c:pt idx="42">
                  <c:v>8.0909593612637067</c:v>
                </c:pt>
                <c:pt idx="43">
                  <c:v>8.9795054618149024</c:v>
                </c:pt>
                <c:pt idx="44">
                  <c:v>9.9178776993826361</c:v>
                </c:pt>
                <c:pt idx="45">
                  <c:v>10.905179987127639</c:v>
                </c:pt>
                <c:pt idx="46">
                  <c:v>11.940373036682537</c:v>
                </c:pt>
                <c:pt idx="47">
                  <c:v>13.022294820448671</c:v>
                </c:pt>
                <c:pt idx="48">
                  <c:v>14.149680136578581</c:v>
                </c:pt>
                <c:pt idx="49">
                  <c:v>15.321179086117979</c:v>
                </c:pt>
                <c:pt idx="50">
                  <c:v>16.535374327776914</c:v>
                </c:pt>
                <c:pt idx="51">
                  <c:v>17.790797023939042</c:v>
                </c:pt>
                <c:pt idx="52">
                  <c:v>19.085941432133495</c:v>
                </c:pt>
                <c:pt idx="53">
                  <c:v>20.419278129798059</c:v>
                </c:pt>
                <c:pt idx="54">
                  <c:v>21.789265887375763</c:v>
                </c:pt>
                <c:pt idx="55">
                  <c:v>23.194362226289577</c:v>
                </c:pt>
                <c:pt idx="56">
                  <c:v>24.633032714820466</c:v>
                </c:pt>
                <c:pt idx="57">
                  <c:v>26.103759067054554</c:v>
                </c:pt>
                <c:pt idx="58">
                  <c:v>27.605046118507651</c:v>
                </c:pt>
                <c:pt idx="59">
                  <c:v>29.13542775737735</c:v>
                </c:pt>
                <c:pt idx="60">
                  <c:v>30.693471893156669</c:v>
                </c:pt>
                <c:pt idx="61">
                  <c:v>32.277784545052583</c:v>
                </c:pt>
                <c:pt idx="62">
                  <c:v>33.88701313171326</c:v>
                </c:pt>
                <c:pt idx="63">
                  <c:v>35.51984904154898</c:v>
                </c:pt>
                <c:pt idx="64">
                  <c:v>37.175029559749291</c:v>
                </c:pt>
                <c:pt idx="65">
                  <c:v>38.851339224220055</c:v>
                </c:pt>
                <c:pt idx="66">
                  <c:v>40.547610678310818</c:v>
                </c:pt>
                <c:pt idx="67">
                  <c:v>42.262725083561065</c:v>
                </c:pt>
                <c:pt idx="68">
                  <c:v>43.99561215090786</c:v>
                </c:pt>
                <c:pt idx="69">
                  <c:v>45.745249843990251</c:v>
                </c:pt>
                <c:pt idx="70">
                  <c:v>47.510663803446903</c:v>
                </c:pt>
                <c:pt idx="71">
                  <c:v>49.290926536505154</c:v>
                </c:pt>
                <c:pt idx="72">
                  <c:v>51.085156411753701</c:v>
                </c:pt>
                <c:pt idx="73">
                  <c:v>52.89251649481487</c:v>
                </c:pt>
                <c:pt idx="74">
                  <c:v>54.71221325670983</c:v>
                </c:pt>
                <c:pt idx="75">
                  <c:v>56.543495183055711</c:v>
                </c:pt>
                <c:pt idx="76">
                  <c:v>58.385651308853312</c:v>
                </c:pt>
                <c:pt idx="77">
                  <c:v>60.238009700518276</c:v>
                </c:pt>
                <c:pt idx="78">
                  <c:v>62.099935903970177</c:v>
                </c:pt>
                <c:pt idx="79">
                  <c:v>63.970831375017099</c:v>
                </c:pt>
                <c:pt idx="80">
                  <c:v>65.850131905943229</c:v>
                </c:pt>
                <c:pt idx="81">
                  <c:v>67.737306060111862</c:v>
                </c:pt>
                <c:pt idx="82">
                  <c:v>69.631853624521426</c:v>
                </c:pt>
                <c:pt idx="83">
                  <c:v>71.533304088582994</c:v>
                </c:pt>
                <c:pt idx="84">
                  <c:v>73.441215155905553</c:v>
                </c:pt>
                <c:pt idx="85">
                  <c:v>75.355171294570368</c:v>
                </c:pt>
                <c:pt idx="86">
                  <c:v>77.274782330227083</c:v>
                </c:pt>
                <c:pt idx="87">
                  <c:v>79.199682085342445</c:v>
                </c:pt>
                <c:pt idx="88">
                  <c:v>81.12952706705974</c:v>
                </c:pt>
                <c:pt idx="89">
                  <c:v>83.063995205374766</c:v>
                </c:pt>
                <c:pt idx="90">
                  <c:v>85.002784642685128</c:v>
                </c:pt>
                <c:pt idx="91">
                  <c:v>86.945612575217766</c:v>
                </c:pt>
                <c:pt idx="92">
                  <c:v>88.892214146370605</c:v>
                </c:pt>
                <c:pt idx="93">
                  <c:v>90.842341391611001</c:v>
                </c:pt>
                <c:pt idx="94">
                  <c:v>92.795762234245615</c:v>
                </c:pt>
                <c:pt idx="95">
                  <c:v>94.75225953110791</c:v>
                </c:pt>
                <c:pt idx="96">
                  <c:v>96.711630166990204</c:v>
                </c:pt>
                <c:pt idx="97">
                  <c:v>98.673684196475008</c:v>
                </c:pt>
                <c:pt idx="98">
                  <c:v>100.6382440316834</c:v>
                </c:pt>
                <c:pt idx="99">
                  <c:v>102.60514367435937</c:v>
                </c:pt>
                <c:pt idx="100">
                  <c:v>104.57422799063433</c:v>
                </c:pt>
              </c:numCache>
            </c:numRef>
          </c:val>
          <c:smooth val="1"/>
        </c:ser>
        <c:ser>
          <c:idx val="1"/>
          <c:order val="3"/>
          <c:tx>
            <c:v>European Maximum Price</c:v>
          </c:tx>
          <c:spPr>
            <a:ln w="25400">
              <a:pattFill prst="pct50">
                <a:fgClr>
                  <a:srgbClr val="000000"/>
                </a:fgClr>
                <a:bgClr>
                  <a:srgbClr val="FFFFFF"/>
                </a:bgClr>
              </a:pattFill>
              <a:prstDash val="solid"/>
            </a:ln>
          </c:spPr>
          <c:marker>
            <c:symbol val="none"/>
          </c:marker>
          <c:val>
            <c:numRef>
              <c:f>'Boundary Conditions'!$E$37:$E$137</c:f>
              <c:numCache>
                <c:formatCode>General</c:formatCode>
                <c:ptCount val="101"/>
                <c:pt idx="0">
                  <c:v>0</c:v>
                </c:pt>
                <c:pt idx="1">
                  <c:v>2</c:v>
                </c:pt>
                <c:pt idx="2">
                  <c:v>4</c:v>
                </c:pt>
                <c:pt idx="3">
                  <c:v>6</c:v>
                </c:pt>
                <c:pt idx="4">
                  <c:v>8</c:v>
                </c:pt>
                <c:pt idx="5">
                  <c:v>10</c:v>
                </c:pt>
                <c:pt idx="6">
                  <c:v>12</c:v>
                </c:pt>
                <c:pt idx="7">
                  <c:v>14</c:v>
                </c:pt>
                <c:pt idx="8">
                  <c:v>16</c:v>
                </c:pt>
                <c:pt idx="9">
                  <c:v>18</c:v>
                </c:pt>
                <c:pt idx="10">
                  <c:v>20</c:v>
                </c:pt>
                <c:pt idx="11">
                  <c:v>22</c:v>
                </c:pt>
                <c:pt idx="12">
                  <c:v>24</c:v>
                </c:pt>
                <c:pt idx="13">
                  <c:v>26</c:v>
                </c:pt>
                <c:pt idx="14">
                  <c:v>28</c:v>
                </c:pt>
                <c:pt idx="15">
                  <c:v>30</c:v>
                </c:pt>
                <c:pt idx="16">
                  <c:v>32</c:v>
                </c:pt>
                <c:pt idx="17">
                  <c:v>34</c:v>
                </c:pt>
                <c:pt idx="18">
                  <c:v>36</c:v>
                </c:pt>
                <c:pt idx="19">
                  <c:v>38</c:v>
                </c:pt>
                <c:pt idx="20">
                  <c:v>40</c:v>
                </c:pt>
                <c:pt idx="21">
                  <c:v>42</c:v>
                </c:pt>
                <c:pt idx="22">
                  <c:v>44</c:v>
                </c:pt>
                <c:pt idx="23">
                  <c:v>46</c:v>
                </c:pt>
                <c:pt idx="24">
                  <c:v>48</c:v>
                </c:pt>
                <c:pt idx="25">
                  <c:v>50</c:v>
                </c:pt>
                <c:pt idx="26">
                  <c:v>52</c:v>
                </c:pt>
                <c:pt idx="27">
                  <c:v>54</c:v>
                </c:pt>
                <c:pt idx="28">
                  <c:v>56</c:v>
                </c:pt>
                <c:pt idx="29">
                  <c:v>58</c:v>
                </c:pt>
                <c:pt idx="30">
                  <c:v>60</c:v>
                </c:pt>
                <c:pt idx="31">
                  <c:v>62</c:v>
                </c:pt>
                <c:pt idx="32">
                  <c:v>64</c:v>
                </c:pt>
                <c:pt idx="33">
                  <c:v>66</c:v>
                </c:pt>
                <c:pt idx="34">
                  <c:v>68</c:v>
                </c:pt>
                <c:pt idx="35">
                  <c:v>70</c:v>
                </c:pt>
                <c:pt idx="36">
                  <c:v>72</c:v>
                </c:pt>
                <c:pt idx="37">
                  <c:v>74</c:v>
                </c:pt>
                <c:pt idx="38">
                  <c:v>76</c:v>
                </c:pt>
                <c:pt idx="39">
                  <c:v>78</c:v>
                </c:pt>
                <c:pt idx="40">
                  <c:v>80</c:v>
                </c:pt>
                <c:pt idx="41">
                  <c:v>82</c:v>
                </c:pt>
                <c:pt idx="42">
                  <c:v>84</c:v>
                </c:pt>
                <c:pt idx="43">
                  <c:v>86</c:v>
                </c:pt>
                <c:pt idx="44">
                  <c:v>88</c:v>
                </c:pt>
                <c:pt idx="45">
                  <c:v>90</c:v>
                </c:pt>
                <c:pt idx="46">
                  <c:v>92</c:v>
                </c:pt>
                <c:pt idx="47">
                  <c:v>94</c:v>
                </c:pt>
                <c:pt idx="48">
                  <c:v>96</c:v>
                </c:pt>
                <c:pt idx="49">
                  <c:v>98</c:v>
                </c:pt>
                <c:pt idx="50">
                  <c:v>100</c:v>
                </c:pt>
                <c:pt idx="51">
                  <c:v>102</c:v>
                </c:pt>
                <c:pt idx="52">
                  <c:v>104</c:v>
                </c:pt>
                <c:pt idx="53">
                  <c:v>106</c:v>
                </c:pt>
                <c:pt idx="54">
                  <c:v>108</c:v>
                </c:pt>
                <c:pt idx="55">
                  <c:v>110</c:v>
                </c:pt>
                <c:pt idx="56">
                  <c:v>112</c:v>
                </c:pt>
                <c:pt idx="57">
                  <c:v>114</c:v>
                </c:pt>
                <c:pt idx="58">
                  <c:v>116</c:v>
                </c:pt>
                <c:pt idx="59">
                  <c:v>118</c:v>
                </c:pt>
                <c:pt idx="60">
                  <c:v>120</c:v>
                </c:pt>
                <c:pt idx="61">
                  <c:v>122</c:v>
                </c:pt>
                <c:pt idx="62">
                  <c:v>124</c:v>
                </c:pt>
                <c:pt idx="63">
                  <c:v>126</c:v>
                </c:pt>
                <c:pt idx="64">
                  <c:v>128</c:v>
                </c:pt>
                <c:pt idx="65">
                  <c:v>130</c:v>
                </c:pt>
                <c:pt idx="66">
                  <c:v>132</c:v>
                </c:pt>
                <c:pt idx="67">
                  <c:v>134</c:v>
                </c:pt>
                <c:pt idx="68">
                  <c:v>136</c:v>
                </c:pt>
                <c:pt idx="69">
                  <c:v>138</c:v>
                </c:pt>
                <c:pt idx="70">
                  <c:v>140</c:v>
                </c:pt>
                <c:pt idx="71">
                  <c:v>142</c:v>
                </c:pt>
                <c:pt idx="72">
                  <c:v>144</c:v>
                </c:pt>
                <c:pt idx="73">
                  <c:v>146</c:v>
                </c:pt>
                <c:pt idx="74">
                  <c:v>148</c:v>
                </c:pt>
                <c:pt idx="75">
                  <c:v>150</c:v>
                </c:pt>
                <c:pt idx="76">
                  <c:v>152</c:v>
                </c:pt>
                <c:pt idx="77">
                  <c:v>154</c:v>
                </c:pt>
                <c:pt idx="78">
                  <c:v>156</c:v>
                </c:pt>
                <c:pt idx="79">
                  <c:v>158</c:v>
                </c:pt>
                <c:pt idx="80">
                  <c:v>160</c:v>
                </c:pt>
                <c:pt idx="81">
                  <c:v>162</c:v>
                </c:pt>
                <c:pt idx="82">
                  <c:v>164</c:v>
                </c:pt>
                <c:pt idx="83">
                  <c:v>166</c:v>
                </c:pt>
                <c:pt idx="84">
                  <c:v>168</c:v>
                </c:pt>
                <c:pt idx="85">
                  <c:v>170</c:v>
                </c:pt>
                <c:pt idx="86">
                  <c:v>172</c:v>
                </c:pt>
                <c:pt idx="87">
                  <c:v>174</c:v>
                </c:pt>
                <c:pt idx="88">
                  <c:v>176</c:v>
                </c:pt>
                <c:pt idx="89">
                  <c:v>178</c:v>
                </c:pt>
                <c:pt idx="90">
                  <c:v>180</c:v>
                </c:pt>
                <c:pt idx="91">
                  <c:v>182</c:v>
                </c:pt>
                <c:pt idx="92">
                  <c:v>184</c:v>
                </c:pt>
                <c:pt idx="93">
                  <c:v>186</c:v>
                </c:pt>
                <c:pt idx="94">
                  <c:v>188</c:v>
                </c:pt>
                <c:pt idx="95">
                  <c:v>190</c:v>
                </c:pt>
                <c:pt idx="96">
                  <c:v>192</c:v>
                </c:pt>
                <c:pt idx="97">
                  <c:v>194</c:v>
                </c:pt>
                <c:pt idx="98">
                  <c:v>196</c:v>
                </c:pt>
                <c:pt idx="99">
                  <c:v>198</c:v>
                </c:pt>
                <c:pt idx="100">
                  <c:v>200</c:v>
                </c:pt>
              </c:numCache>
            </c:numRef>
          </c:val>
          <c:smooth val="1"/>
        </c:ser>
        <c:dLbls>
          <c:showLegendKey val="0"/>
          <c:showVal val="0"/>
          <c:showCatName val="0"/>
          <c:showSerName val="0"/>
          <c:showPercent val="0"/>
          <c:showBubbleSize val="0"/>
        </c:dLbls>
        <c:marker val="1"/>
        <c:smooth val="0"/>
        <c:axId val="175254144"/>
        <c:axId val="175289088"/>
      </c:lineChart>
      <c:catAx>
        <c:axId val="17525414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Stock Price</a:t>
                </a:r>
              </a:p>
            </c:rich>
          </c:tx>
          <c:layout>
            <c:manualLayout>
              <c:xMode val="edge"/>
              <c:yMode val="edge"/>
              <c:x val="0.46124803397684927"/>
              <c:y val="0.78839590443686003"/>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5289088"/>
        <c:crosses val="autoZero"/>
        <c:auto val="0"/>
        <c:lblAlgn val="ctr"/>
        <c:lblOffset val="100"/>
        <c:tickLblSkip val="5"/>
        <c:tickMarkSkip val="5"/>
        <c:noMultiLvlLbl val="0"/>
      </c:catAx>
      <c:valAx>
        <c:axId val="175289088"/>
        <c:scaling>
          <c:orientation val="minMax"/>
          <c:max val="200"/>
          <c:min val="0"/>
        </c:scaling>
        <c:delete val="0"/>
        <c:axPos val="l"/>
        <c:title>
          <c:tx>
            <c:rich>
              <a:bodyPr/>
              <a:lstStyle/>
              <a:p>
                <a:pPr>
                  <a:defRPr sz="800" b="1" i="0" u="none" strike="noStrike" baseline="0">
                    <a:solidFill>
                      <a:srgbClr val="000000"/>
                    </a:solidFill>
                    <a:latin typeface="Arial"/>
                    <a:ea typeface="Arial"/>
                    <a:cs typeface="Arial"/>
                  </a:defRPr>
                </a:pPr>
                <a:r>
                  <a:rPr lang="en-US"/>
                  <a:t>Option Price</a:t>
                </a:r>
              </a:p>
            </c:rich>
          </c:tx>
          <c:layout>
            <c:manualLayout>
              <c:xMode val="edge"/>
              <c:yMode val="edge"/>
              <c:x val="2.0793950850661626E-2"/>
              <c:y val="0.2662116040955631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5254144"/>
        <c:crosses val="autoZero"/>
        <c:crossBetween val="midCat"/>
      </c:valAx>
      <c:spPr>
        <a:solidFill>
          <a:srgbClr val="FFFFFF"/>
        </a:solidFill>
        <a:ln w="12700">
          <a:solidFill>
            <a:srgbClr val="808080"/>
          </a:solidFill>
          <a:prstDash val="solid"/>
        </a:ln>
      </c:spPr>
    </c:plotArea>
    <c:legend>
      <c:legendPos val="r"/>
      <c:layout>
        <c:manualLayout>
          <c:xMode val="edge"/>
          <c:yMode val="edge"/>
          <c:x val="3.780718336483932E-2"/>
          <c:y val="0.87030716723549484"/>
          <c:w val="0.90170211710303694"/>
          <c:h val="0.10921501706484638"/>
        </c:manualLayout>
      </c:layout>
      <c:overlay val="0"/>
      <c:spPr>
        <a:solidFill>
          <a:srgbClr val="FFFFFF"/>
        </a:solidFill>
        <a:ln w="3175">
          <a:solidFill>
            <a:srgbClr val="000000"/>
          </a:solidFill>
          <a:prstDash val="solid"/>
        </a:ln>
      </c:spPr>
      <c:txPr>
        <a:bodyPr/>
        <a:lstStyle/>
        <a:p>
          <a:pPr>
            <a:defRPr sz="5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horizontalDpi="300" verticalDpi="300"/>
  </c:printSettings>
</c:chartSpace>
</file>

<file path=xl/ctrlProps/ctrlProp1.xml><?xml version="1.0" encoding="utf-8"?>
<formControlPr xmlns="http://schemas.microsoft.com/office/spreadsheetml/2009/9/main" objectType="Scroll" dx="15" fmlaLink="$L$19" horiz="1" inc="5" max="200" page="5" val="200"/>
</file>

<file path=xl/ctrlProps/ctrlProp2.xml><?xml version="1.0" encoding="utf-8"?>
<formControlPr xmlns="http://schemas.microsoft.com/office/spreadsheetml/2009/9/main" objectType="Scroll" dx="15" fmlaLink="$L$11" horiz="1" inc="5" max="200" page="10" val="100"/>
</file>

<file path=xl/ctrlProps/ctrlProp3.xml><?xml version="1.0" encoding="utf-8"?>
<formControlPr xmlns="http://schemas.microsoft.com/office/spreadsheetml/2009/9/main" objectType="Scroll" dx="15" fmlaLink="$L$23" horiz="1" inc="5" max="100" page="10" val="50"/>
</file>

<file path=xl/ctrlProps/ctrlProp4.xml><?xml version="1.0" encoding="utf-8"?>
<formControlPr xmlns="http://schemas.microsoft.com/office/spreadsheetml/2009/9/main" objectType="List" dx="16" fmlaLink="D34" fmlaRange="B34:B35" val="0"/>
</file>

<file path=xl/ctrlProps/ctrlProp5.xml><?xml version="1.0" encoding="utf-8"?>
<formControlPr xmlns="http://schemas.microsoft.com/office/spreadsheetml/2009/9/main" objectType="Scroll" dx="15" fmlaLink="$L$15" horiz="1" max="20" page="10" val="8"/>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304800</xdr:colOff>
      <xdr:row>7</xdr:row>
      <xdr:rowOff>38100</xdr:rowOff>
    </xdr:from>
    <xdr:to>
      <xdr:col>9</xdr:col>
      <xdr:colOff>180975</xdr:colOff>
      <xdr:row>23</xdr:row>
      <xdr:rowOff>95250</xdr:rowOff>
    </xdr:to>
    <xdr:graphicFrame macro="">
      <xdr:nvGraphicFramePr>
        <xdr:cNvPr id="1095"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123825</xdr:colOff>
      <xdr:row>0</xdr:row>
      <xdr:rowOff>133350</xdr:rowOff>
    </xdr:from>
    <xdr:to>
      <xdr:col>8</xdr:col>
      <xdr:colOff>219075</xdr:colOff>
      <xdr:row>4</xdr:row>
      <xdr:rowOff>28575</xdr:rowOff>
    </xdr:to>
    <xdr:sp macro="" textlink="">
      <xdr:nvSpPr>
        <xdr:cNvPr id="1062" name="Text 8"/>
        <xdr:cNvSpPr>
          <a:spLocks noChangeArrowheads="1"/>
        </xdr:cNvSpPr>
      </xdr:nvSpPr>
      <xdr:spPr bwMode="auto">
        <a:xfrm>
          <a:off x="1952625" y="133350"/>
          <a:ext cx="3019425" cy="542925"/>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DYNAMIC OPTION BOUNDARY CONDITIONS</a:t>
          </a:r>
        </a:p>
        <a:p>
          <a:pPr algn="ctr" rtl="0">
            <a:defRPr sz="1000"/>
          </a:pPr>
          <a:r>
            <a:rPr lang="en-US" sz="1000" b="1" i="0" u="none" strike="noStrike" baseline="0">
              <a:solidFill>
                <a:srgbClr val="000000"/>
              </a:solidFill>
              <a:latin typeface="Arial"/>
              <a:cs typeface="Arial"/>
            </a:rPr>
            <a:t>10e</a:t>
          </a:r>
        </a:p>
      </xdr:txBody>
    </xdr:sp>
    <xdr:clientData/>
  </xdr:twoCellAnchor>
  <mc:AlternateContent xmlns:mc="http://schemas.openxmlformats.org/markup-compatibility/2006">
    <mc:Choice xmlns:a14="http://schemas.microsoft.com/office/drawing/2010/main" Requires="a14">
      <xdr:twoCellAnchor editAs="oneCell">
        <xdr:from>
          <xdr:col>10</xdr:col>
          <xdr:colOff>66675</xdr:colOff>
          <xdr:row>19</xdr:row>
          <xdr:rowOff>66675</xdr:rowOff>
        </xdr:from>
        <xdr:to>
          <xdr:col>12</xdr:col>
          <xdr:colOff>390525</xdr:colOff>
          <xdr:row>20</xdr:row>
          <xdr:rowOff>47625</xdr:rowOff>
        </xdr:to>
        <xdr:sp macro="" textlink="">
          <xdr:nvSpPr>
            <xdr:cNvPr id="1027" name="Scroll Bar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11</xdr:row>
          <xdr:rowOff>66675</xdr:rowOff>
        </xdr:from>
        <xdr:to>
          <xdr:col>12</xdr:col>
          <xdr:colOff>352425</xdr:colOff>
          <xdr:row>12</xdr:row>
          <xdr:rowOff>47625</xdr:rowOff>
        </xdr:to>
        <xdr:sp macro="" textlink="">
          <xdr:nvSpPr>
            <xdr:cNvPr id="1029" name="Scroll Bar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23</xdr:row>
          <xdr:rowOff>114300</xdr:rowOff>
        </xdr:from>
        <xdr:to>
          <xdr:col>12</xdr:col>
          <xdr:colOff>371475</xdr:colOff>
          <xdr:row>24</xdr:row>
          <xdr:rowOff>95250</xdr:rowOff>
        </xdr:to>
        <xdr:sp macro="" textlink="">
          <xdr:nvSpPr>
            <xdr:cNvPr id="1030" name="Scroll Bar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7</xdr:row>
          <xdr:rowOff>28575</xdr:rowOff>
        </xdr:from>
        <xdr:to>
          <xdr:col>11</xdr:col>
          <xdr:colOff>400050</xdr:colOff>
          <xdr:row>8</xdr:row>
          <xdr:rowOff>142875</xdr:rowOff>
        </xdr:to>
        <xdr:sp macro="" textlink="">
          <xdr:nvSpPr>
            <xdr:cNvPr id="1044" name="List Box 20"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15</xdr:row>
          <xdr:rowOff>57150</xdr:rowOff>
        </xdr:from>
        <xdr:to>
          <xdr:col>12</xdr:col>
          <xdr:colOff>342900</xdr:colOff>
          <xdr:row>16</xdr:row>
          <xdr:rowOff>38100</xdr:rowOff>
        </xdr:to>
        <xdr:sp macro="" textlink="">
          <xdr:nvSpPr>
            <xdr:cNvPr id="1066" name="Scroll Bar 42"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95250</xdr:colOff>
      <xdr:row>1</xdr:row>
      <xdr:rowOff>66675</xdr:rowOff>
    </xdr:from>
    <xdr:to>
      <xdr:col>9</xdr:col>
      <xdr:colOff>38100</xdr:colOff>
      <xdr:row>17</xdr:row>
      <xdr:rowOff>9525</xdr:rowOff>
    </xdr:to>
    <xdr:sp macro="" textlink="">
      <xdr:nvSpPr>
        <xdr:cNvPr id="3073" name="Text 7"/>
        <xdr:cNvSpPr>
          <a:spLocks noChangeArrowheads="1"/>
        </xdr:cNvSpPr>
      </xdr:nvSpPr>
      <xdr:spPr bwMode="auto">
        <a:xfrm>
          <a:off x="704850" y="228600"/>
          <a:ext cx="4819650" cy="2533650"/>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27432" tIns="22860" rIns="27432" bIns="0" anchor="t" upright="1"/>
        <a:lstStyle/>
        <a:p>
          <a:pPr algn="just" rtl="0">
            <a:lnSpc>
              <a:spcPts val="600"/>
            </a:lnSpc>
            <a:defRPr sz="1000"/>
          </a:pPr>
          <a:r>
            <a:rPr lang="en-US" sz="1000" b="1" i="0" u="none" strike="noStrike" baseline="0">
              <a:solidFill>
                <a:srgbClr val="000000"/>
              </a:solidFill>
              <a:latin typeface="Arial"/>
              <a:cs typeface="Arial"/>
            </a:rPr>
            <a:t>Instructions:</a:t>
          </a:r>
          <a:endParaRPr lang="en-US" sz="1000" b="0" i="1" u="none" strike="noStrike" baseline="0">
            <a:solidFill>
              <a:srgbClr val="000000"/>
            </a:solidFill>
            <a:latin typeface="Arial"/>
            <a:cs typeface="Arial"/>
          </a:endParaRPr>
        </a:p>
        <a:p>
          <a:pPr algn="just" rtl="0">
            <a:lnSpc>
              <a:spcPts val="700"/>
            </a:lnSpc>
            <a:defRPr sz="1000"/>
          </a:pPr>
          <a:endParaRPr lang="en-US" sz="1000" b="0" i="0" u="none" strike="noStrike" baseline="0">
            <a:solidFill>
              <a:srgbClr val="000000"/>
            </a:solidFill>
            <a:latin typeface="Arial"/>
            <a:cs typeface="Arial"/>
          </a:endParaRPr>
        </a:p>
        <a:p>
          <a:pPr algn="just" rtl="0">
            <a:lnSpc>
              <a:spcPts val="700"/>
            </a:lnSpc>
            <a:defRPr sz="1000"/>
          </a:pPr>
          <a:r>
            <a:rPr lang="en-US" sz="1000" b="0" i="0" u="none" strike="noStrike" baseline="0">
              <a:solidFill>
                <a:srgbClr val="000000"/>
              </a:solidFill>
              <a:latin typeface="Arial"/>
              <a:cs typeface="Arial"/>
            </a:rPr>
            <a:t>This spreadsheet allows you to alter the type of option, exercise price, risk-free rate, days to expiration, and volatility and observe the price of a European option for a range of stock prices, in relation to the European lower bound and the intrinsic value, which would apply for American options.  These values can be varied to observe the dynamic behavior of the option price and the boundary conditions.</a:t>
          </a:r>
        </a:p>
        <a:p>
          <a:pPr algn="just" rtl="0">
            <a:lnSpc>
              <a:spcPts val="900"/>
            </a:lnSpc>
            <a:defRPr sz="1000"/>
          </a:pPr>
          <a:endParaRPr lang="en-US" sz="1000" b="0" i="0" u="none" strike="noStrike" baseline="0">
            <a:solidFill>
              <a:srgbClr val="000000"/>
            </a:solidFill>
            <a:latin typeface="Arial"/>
            <a:cs typeface="Arial"/>
          </a:endParaRPr>
        </a:p>
        <a:p>
          <a:pPr algn="just" rtl="0">
            <a:lnSpc>
              <a:spcPts val="900"/>
            </a:lnSpc>
            <a:defRPr sz="1000"/>
          </a:pPr>
          <a:r>
            <a:rPr lang="en-US" sz="1000" b="0" i="0" u="none" strike="noStrike" baseline="0">
              <a:solidFill>
                <a:srgbClr val="000000"/>
              </a:solidFill>
              <a:latin typeface="Arial"/>
              <a:cs typeface="Arial"/>
            </a:rPr>
            <a:t>Use the pull-down menu to select the type of option (European call or put).  The remaining values can be entered in their respective boxes as indicated by the double line border.  For each of these values, however, it is easy to alter their values by using the Scroll Bars.  By dragging and indicator, the graph is automatically and quickly redrawn, allowing a more instructive view of how the option price and boundary conditions change as, for example, the expiration draws near.</a:t>
          </a:r>
        </a:p>
        <a:p>
          <a:pPr algn="just" rtl="0">
            <a:lnSpc>
              <a:spcPts val="900"/>
            </a:lnSpc>
            <a:defRPr sz="1000"/>
          </a:pPr>
          <a:endParaRPr lang="en-US" sz="1000" b="0" i="0" u="none" strike="noStrike" baseline="0">
            <a:solidFill>
              <a:srgbClr val="000000"/>
            </a:solidFill>
            <a:latin typeface="Arial"/>
            <a:cs typeface="Arial"/>
          </a:endParaRPr>
        </a:p>
        <a:p>
          <a:pPr algn="just" rtl="0">
            <a:lnSpc>
              <a:spcPts val="900"/>
            </a:lnSpc>
            <a:defRPr sz="1000"/>
          </a:pPr>
          <a:r>
            <a:rPr lang="en-US" sz="1000" b="0" i="0" u="none" strike="noStrike" baseline="0">
              <a:solidFill>
                <a:srgbClr val="000000"/>
              </a:solidFill>
              <a:latin typeface="Arial"/>
              <a:cs typeface="Arial"/>
            </a:rPr>
            <a:t>The scroll bars allow selection of vales over pre-specified ranges, but any values of the inputs can be entered directly into their respective boxes.</a:t>
          </a:r>
        </a:p>
        <a:p>
          <a:pPr algn="just" rtl="0">
            <a:lnSpc>
              <a:spcPts val="900"/>
            </a:lnSpc>
            <a:defRPr sz="1000"/>
          </a:pPr>
          <a:endParaRPr lang="en-US" sz="1000" b="0" i="0" u="none" strike="noStrike" baseline="0">
            <a:solidFill>
              <a:srgbClr val="000000"/>
            </a:solidFill>
            <a:latin typeface="Arial"/>
            <a:cs typeface="Arial"/>
          </a:endParaRPr>
        </a:p>
        <a:p>
          <a:pPr algn="just" rtl="0">
            <a:lnSpc>
              <a:spcPts val="900"/>
            </a:lnSpc>
            <a:defRPr sz="1000"/>
          </a:pPr>
          <a:endParaRPr lang="en-US" sz="1000" b="0" i="0" u="none" strike="noStrike" baseline="0">
            <a:solidFill>
              <a:srgbClr val="000000"/>
            </a:solidFill>
            <a:latin typeface="Arial"/>
            <a:cs typeface="Arial"/>
          </a:endParaRPr>
        </a:p>
        <a:p>
          <a:pPr algn="just" rtl="0">
            <a:lnSpc>
              <a:spcPts val="900"/>
            </a:lnSpc>
            <a:defRPr sz="1000"/>
          </a:pPr>
          <a:endParaRPr lang="en-US" sz="1000" b="0" i="0" u="none" strike="noStrike" baseline="0">
            <a:solidFill>
              <a:srgbClr val="000000"/>
            </a:solidFill>
            <a:latin typeface="Arial"/>
            <a:cs typeface="Arial"/>
          </a:endParaRPr>
        </a:p>
        <a:p>
          <a:pPr algn="just" rtl="0">
            <a:lnSpc>
              <a:spcPts val="900"/>
            </a:lnSpc>
            <a:defRPr sz="1000"/>
          </a:pPr>
          <a:endParaRPr lang="en-US" sz="1000" b="0" i="0" u="none" strike="noStrike" baseline="0">
            <a:solidFill>
              <a:srgbClr val="000000"/>
            </a:solidFill>
            <a:latin typeface="Arial"/>
            <a:cs typeface="Arial"/>
          </a:endParaRPr>
        </a:p>
        <a:p>
          <a:pPr algn="just" rtl="0">
            <a:lnSpc>
              <a:spcPts val="900"/>
            </a:lnSpc>
            <a:defRPr sz="1000"/>
          </a:pPr>
          <a:endParaRPr lang="en-US" sz="1000" b="0" i="0" u="none" strike="noStrike" baseline="0">
            <a:solidFill>
              <a:srgbClr val="000000"/>
            </a:solidFill>
            <a:latin typeface="Arial"/>
            <a:cs typeface="Arial"/>
          </a:endParaRPr>
        </a:p>
        <a:p>
          <a:pPr algn="just" rtl="0">
            <a:lnSpc>
              <a:spcPts val="900"/>
            </a:lnSpc>
            <a:defRPr sz="1000"/>
          </a:pPr>
          <a:endParaRPr lang="en-US" sz="1000" b="0" i="0" u="none" strike="noStrike" baseline="0">
            <a:solidFill>
              <a:srgbClr val="000000"/>
            </a:solidFill>
            <a:latin typeface="Arial"/>
            <a:cs typeface="Arial"/>
          </a:endParaRPr>
        </a:p>
        <a:p>
          <a:pPr algn="just" rtl="0">
            <a:lnSpc>
              <a:spcPts val="900"/>
            </a:lnSpc>
            <a:defRPr sz="1000"/>
          </a:pPr>
          <a:endParaRPr lang="en-US" sz="1000" b="0" i="0" u="none" strike="noStrike" baseline="0">
            <a:solidFill>
              <a:srgbClr val="000000"/>
            </a:solidFill>
            <a:latin typeface="Arial"/>
            <a:cs typeface="Arial"/>
          </a:endParaRPr>
        </a:p>
        <a:p>
          <a:pPr algn="just" rtl="0">
            <a:lnSpc>
              <a:spcPts val="1000"/>
            </a:lnSpc>
            <a:defRPr sz="1000"/>
          </a:pPr>
          <a:endParaRPr lang="en-US" sz="1000" b="0" i="0" u="none" strike="noStrike" baseline="0">
            <a:solidFill>
              <a:srgbClr val="000000"/>
            </a:solidFill>
            <a:latin typeface="Arial"/>
            <a:cs typeface="Arial"/>
          </a:endParaRPr>
        </a:p>
        <a:p>
          <a:pPr algn="just" rtl="0">
            <a:lnSpc>
              <a:spcPts val="900"/>
            </a:lnSpc>
            <a:defRPr sz="1000"/>
          </a:pPr>
          <a:endParaRPr lang="en-US" sz="1000" b="0" i="0" u="none" strike="noStrike" baseline="0">
            <a:solidFill>
              <a:srgbClr val="000000"/>
            </a:solidFill>
            <a:latin typeface="Arial"/>
            <a:cs typeface="Arial"/>
          </a:endParaRPr>
        </a:p>
        <a:p>
          <a:pPr algn="just" rtl="0">
            <a:lnSpc>
              <a:spcPts val="1000"/>
            </a:lnSpc>
            <a:defRPr sz="1000"/>
          </a:pPr>
          <a:endParaRPr lang="en-US" sz="1000" b="0" i="0" u="none" strike="noStrike" baseline="0">
            <a:solidFill>
              <a:srgbClr val="000000"/>
            </a:solidFill>
            <a:latin typeface="Arial"/>
            <a:cs typeface="Arial"/>
          </a:endParaRPr>
        </a:p>
        <a:p>
          <a:pPr algn="just" rtl="0">
            <a:lnSpc>
              <a:spcPts val="900"/>
            </a:lnSpc>
            <a:defRPr sz="1000"/>
          </a:pPr>
          <a:endParaRPr lang="en-US" sz="1000" b="0" i="0" u="none" strike="noStrike" baseline="0">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352425</xdr:colOff>
      <xdr:row>1</xdr:row>
      <xdr:rowOff>38100</xdr:rowOff>
    </xdr:from>
    <xdr:to>
      <xdr:col>6</xdr:col>
      <xdr:colOff>361950</xdr:colOff>
      <xdr:row>11</xdr:row>
      <xdr:rowOff>47625</xdr:rowOff>
    </xdr:to>
    <xdr:sp macro="" textlink="">
      <xdr:nvSpPr>
        <xdr:cNvPr id="2049" name="Text 16"/>
        <xdr:cNvSpPr>
          <a:spLocks noChangeArrowheads="1"/>
        </xdr:cNvSpPr>
      </xdr:nvSpPr>
      <xdr:spPr bwMode="auto">
        <a:xfrm>
          <a:off x="352425" y="200025"/>
          <a:ext cx="3667125" cy="1466850"/>
        </a:xfrm>
        <a:prstGeom prst="roundRect">
          <a:avLst>
            <a:gd name="adj" fmla="val 16667"/>
          </a:avLst>
        </a:prstGeom>
        <a:solidFill>
          <a:srgbClr val="FFFF00"/>
        </a:solidFill>
        <a:ln w="9525">
          <a:solidFill>
            <a:srgbClr val="000000"/>
          </a:solidFill>
          <a:round/>
          <a:headEnd/>
          <a:tailEnd/>
        </a:ln>
        <a:effectLst>
          <a:outerShdw dist="35921" dir="2700000" algn="ctr" rotWithShape="0">
            <a:srgbClr val="000000"/>
          </a:outerShdw>
        </a:effectLst>
      </xdr:spPr>
      <xdr:txBody>
        <a:bodyPr vertOverflow="clip" wrap="square" lIns="27432" tIns="22860" rIns="0" bIns="22860" anchor="ctr" upright="1"/>
        <a:lstStyle/>
        <a:p>
          <a:pPr algn="l" rtl="0">
            <a:lnSpc>
              <a:spcPts val="1100"/>
            </a:lnSpc>
            <a:defRPr sz="1000"/>
          </a:pPr>
          <a:r>
            <a:rPr lang="en-US" sz="1000" b="0" i="0" u="none" strike="noStrike" baseline="0">
              <a:solidFill>
                <a:srgbClr val="000000"/>
              </a:solidFill>
              <a:latin typeface="Arial"/>
              <a:cs typeface="Arial"/>
            </a:rPr>
            <a:t>Written by Don M. Chance and Robert Brooks</a:t>
          </a:r>
        </a:p>
        <a:p>
          <a:pPr algn="l" rtl="0">
            <a:lnSpc>
              <a:spcPts val="1000"/>
            </a:lnSpc>
            <a:defRPr sz="1000"/>
          </a:pPr>
          <a:r>
            <a:rPr lang="en-US" sz="1000" b="0" i="0" u="none" strike="noStrike" baseline="0">
              <a:solidFill>
                <a:srgbClr val="000000"/>
              </a:solidFill>
              <a:latin typeface="Arial"/>
              <a:cs typeface="Arial"/>
            </a:rPr>
            <a:t>For use with </a:t>
          </a:r>
          <a:r>
            <a:rPr lang="en-US" sz="1000" b="0" i="1" u="none" strike="noStrike" baseline="0">
              <a:solidFill>
                <a:srgbClr val="000000"/>
              </a:solidFill>
              <a:latin typeface="Arial"/>
              <a:cs typeface="Arial"/>
            </a:rPr>
            <a:t>An Introduction to Derivatives and Risk Management, 10</a:t>
          </a:r>
          <a:r>
            <a:rPr lang="en-US" sz="1000" b="0" i="1" u="none" strike="noStrike" baseline="30000">
              <a:solidFill>
                <a:srgbClr val="000000"/>
              </a:solidFill>
              <a:latin typeface="Arial"/>
              <a:cs typeface="Arial"/>
            </a:rPr>
            <a:t>th </a:t>
          </a:r>
          <a:r>
            <a:rPr lang="en-US" sz="1000" b="0" i="1" u="none" strike="noStrike" baseline="0">
              <a:solidFill>
                <a:srgbClr val="000000"/>
              </a:solidFill>
              <a:latin typeface="Arial"/>
              <a:cs typeface="Arial"/>
            </a:rPr>
            <a:t>ed.</a:t>
          </a:r>
          <a:endParaRPr lang="en-US" sz="1000" b="0" i="0" u="none" strike="noStrike" baseline="0">
            <a:solidFill>
              <a:srgbClr val="000000"/>
            </a:solidFill>
            <a:latin typeface="Arial"/>
            <a:cs typeface="Arial"/>
          </a:endParaRPr>
        </a:p>
        <a:p>
          <a:pPr algn="l" rtl="0">
            <a:lnSpc>
              <a:spcPts val="1100"/>
            </a:lnSpc>
            <a:defRPr sz="1000"/>
          </a:pPr>
          <a:r>
            <a:rPr lang="en-US" sz="1000" b="0" i="0" u="none" strike="noStrike" baseline="0">
              <a:solidFill>
                <a:srgbClr val="000000"/>
              </a:solidFill>
              <a:latin typeface="Arial"/>
              <a:cs typeface="Arial"/>
            </a:rPr>
            <a:t>(Mason, Ohio:  Cengage, 2015)</a:t>
          </a:r>
        </a:p>
        <a:p>
          <a:pPr algn="l" rtl="0">
            <a:lnSpc>
              <a:spcPts val="1100"/>
            </a:lnSpc>
            <a:defRPr sz="1000"/>
          </a:pPr>
          <a:r>
            <a:rPr lang="en-US" sz="1000" b="0" i="0" u="none" strike="noStrike" baseline="0">
              <a:solidFill>
                <a:srgbClr val="000000"/>
              </a:solidFill>
              <a:latin typeface="Arial"/>
              <a:cs typeface="Arial"/>
            </a:rPr>
            <a:t>Date:  7/09</a:t>
          </a:r>
        </a:p>
        <a:p>
          <a:pPr marL="0" marR="0" indent="0" algn="l" defTabSz="914400" rtl="0" eaLnBrk="1" fontAlgn="auto" latinLnBrk="0" hangingPunct="1">
            <a:lnSpc>
              <a:spcPts val="1000"/>
            </a:lnSpc>
            <a:spcBef>
              <a:spcPts val="0"/>
            </a:spcBef>
            <a:spcAft>
              <a:spcPts val="0"/>
            </a:spcAft>
            <a:buClrTx/>
            <a:buSzTx/>
            <a:buFontTx/>
            <a:buNone/>
            <a:tabLst/>
            <a:defRPr sz="1000"/>
          </a:pPr>
          <a:r>
            <a:rPr lang="en-US" sz="1000" b="0" i="0" u="none" strike="noStrike" baseline="0">
              <a:solidFill>
                <a:srgbClr val="000000"/>
              </a:solidFill>
              <a:latin typeface="Arial"/>
              <a:cs typeface="Arial"/>
            </a:rPr>
            <a:t>Last updated:  3/18/14</a:t>
          </a:r>
        </a:p>
        <a:p>
          <a:pPr marL="0" marR="0" indent="0" algn="l" defTabSz="914400" rtl="0" eaLnBrk="1" fontAlgn="auto" latinLnBrk="0" hangingPunct="1">
            <a:lnSpc>
              <a:spcPts val="1100"/>
            </a:lnSpc>
            <a:spcBef>
              <a:spcPts val="0"/>
            </a:spcBef>
            <a:spcAft>
              <a:spcPts val="0"/>
            </a:spcAft>
            <a:buClrTx/>
            <a:buSzTx/>
            <a:buFontTx/>
            <a:buNone/>
            <a:tabLst/>
            <a:defRPr sz="1000"/>
          </a:pPr>
          <a:r>
            <a:rPr lang="en-US" sz="1000" b="0" i="0" u="none" strike="noStrike" baseline="0">
              <a:solidFill>
                <a:srgbClr val="000000"/>
              </a:solidFill>
              <a:latin typeface="Arial"/>
              <a:ea typeface="+mn-ea"/>
              <a:cs typeface="Arial"/>
            </a:rPr>
            <a:t>© 2015 Cengage Learning. All Rights Reserved. May not be scanned, copied or duplicated, or posted to a publicly accessible website, in whole or in part.</a:t>
          </a:r>
        </a:p>
        <a:p>
          <a:pPr algn="l" rtl="0">
            <a:lnSpc>
              <a:spcPts val="1000"/>
            </a:lnSpc>
            <a:defRPr sz="1000"/>
          </a:pPr>
          <a:endParaRPr lang="en-US" sz="1000" b="0" i="0" u="none" strike="noStrike" baseline="0">
            <a:solidFill>
              <a:srgbClr val="000000"/>
            </a:solidFill>
            <a:latin typeface="Arial"/>
            <a:cs typeface="Arial"/>
          </a:endParaRPr>
        </a:p>
        <a:p>
          <a:pPr algn="l" rtl="0">
            <a:lnSpc>
              <a:spcPts val="900"/>
            </a:lnSpc>
            <a:defRPr sz="1000"/>
          </a:pPr>
          <a:endParaRPr lang="en-US" sz="1000" b="0" i="0" u="none"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sbin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cedures"/>
      <sheetName val="Black-Scholes &amp; Binomial"/>
      <sheetName val="Instructions"/>
      <sheetName val="About bsbin2.xls"/>
    </sheetNames>
    <sheetDataSet>
      <sheetData sheetId="0" refreshError="1"/>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37"/>
  <sheetViews>
    <sheetView tabSelected="1" workbookViewId="0">
      <selection activeCell="T14" sqref="T14"/>
    </sheetView>
  </sheetViews>
  <sheetFormatPr defaultRowHeight="12.75" x14ac:dyDescent="0.2"/>
  <cols>
    <col min="8" max="8" width="7.28515625" customWidth="1"/>
    <col min="9" max="9" width="6.140625" customWidth="1"/>
    <col min="10" max="10" width="6.85546875" customWidth="1"/>
  </cols>
  <sheetData>
    <row r="1" spans="1:13" x14ac:dyDescent="0.2">
      <c r="A1" s="14"/>
      <c r="B1" s="14"/>
      <c r="C1" s="14"/>
      <c r="D1" s="14"/>
      <c r="E1" s="14"/>
      <c r="F1" s="14"/>
      <c r="G1" s="14"/>
      <c r="H1" s="14"/>
      <c r="I1" s="14"/>
      <c r="J1" s="14"/>
      <c r="K1" s="14"/>
      <c r="L1" s="14"/>
      <c r="M1" s="15"/>
    </row>
    <row r="2" spans="1:13" x14ac:dyDescent="0.2">
      <c r="A2" s="14"/>
      <c r="B2" s="14"/>
      <c r="C2" s="14"/>
      <c r="D2" s="14"/>
      <c r="E2" s="14"/>
      <c r="F2" s="14"/>
      <c r="G2" s="14"/>
      <c r="H2" s="14"/>
      <c r="I2" s="14"/>
      <c r="J2" s="14"/>
      <c r="K2" s="14"/>
      <c r="L2" s="14"/>
      <c r="M2" s="15"/>
    </row>
    <row r="3" spans="1:13" x14ac:dyDescent="0.2">
      <c r="A3" s="14"/>
      <c r="B3" s="14"/>
      <c r="C3" s="14"/>
      <c r="D3" s="14"/>
      <c r="E3" s="14"/>
      <c r="F3" s="14"/>
      <c r="G3" s="14"/>
      <c r="H3" s="14"/>
      <c r="I3" s="14"/>
      <c r="J3" s="14"/>
      <c r="K3" s="14"/>
      <c r="L3" s="14"/>
      <c r="M3" s="15"/>
    </row>
    <row r="4" spans="1:13" x14ac:dyDescent="0.2">
      <c r="A4" s="14"/>
      <c r="B4" s="14"/>
      <c r="C4" s="14"/>
      <c r="D4" s="14"/>
      <c r="E4" s="14"/>
      <c r="F4" s="14"/>
      <c r="G4" s="14"/>
      <c r="H4" s="14"/>
      <c r="I4" s="14"/>
      <c r="J4" s="14"/>
      <c r="K4" s="14"/>
      <c r="L4" s="14"/>
      <c r="M4" s="15"/>
    </row>
    <row r="5" spans="1:13" ht="13.5" thickBot="1" x14ac:dyDescent="0.25">
      <c r="A5" s="16"/>
      <c r="B5" s="16"/>
      <c r="C5" s="16"/>
      <c r="D5" s="16"/>
      <c r="E5" s="16"/>
      <c r="F5" s="16"/>
      <c r="G5" s="16"/>
      <c r="H5" s="16"/>
      <c r="I5" s="16"/>
      <c r="J5" s="16"/>
      <c r="K5" s="16"/>
      <c r="L5" s="16"/>
      <c r="M5" s="17"/>
    </row>
    <row r="6" spans="1:13" ht="13.5" thickTop="1" x14ac:dyDescent="0.2">
      <c r="A6" s="5"/>
      <c r="B6" s="6"/>
      <c r="C6" s="6"/>
      <c r="D6" s="6"/>
      <c r="E6" s="6"/>
      <c r="F6" s="6"/>
      <c r="G6" s="6"/>
      <c r="H6" s="6"/>
      <c r="I6" s="6"/>
      <c r="J6" s="6"/>
      <c r="K6" s="6"/>
      <c r="L6" s="6"/>
      <c r="M6" s="7"/>
    </row>
    <row r="7" spans="1:13" x14ac:dyDescent="0.2">
      <c r="A7" s="5"/>
      <c r="B7" s="6"/>
      <c r="C7" s="6"/>
      <c r="D7" s="6"/>
      <c r="E7" s="6"/>
      <c r="F7" s="6"/>
      <c r="G7" s="6"/>
      <c r="H7" s="6"/>
      <c r="I7" s="6"/>
      <c r="J7" s="6"/>
      <c r="K7" s="6" t="s">
        <v>6</v>
      </c>
      <c r="L7" s="6"/>
      <c r="M7" s="8"/>
    </row>
    <row r="8" spans="1:13" x14ac:dyDescent="0.2">
      <c r="A8" s="5"/>
      <c r="B8" s="6"/>
      <c r="C8" s="6"/>
      <c r="D8" s="6"/>
      <c r="E8" s="6"/>
      <c r="F8" s="6"/>
      <c r="G8" s="6"/>
      <c r="H8" s="6"/>
      <c r="I8" s="6"/>
      <c r="J8" s="6"/>
      <c r="K8" s="6"/>
      <c r="L8" s="6"/>
      <c r="M8" s="8"/>
    </row>
    <row r="9" spans="1:13" x14ac:dyDescent="0.2">
      <c r="A9" s="5"/>
      <c r="B9" s="6"/>
      <c r="C9" s="6"/>
      <c r="D9" s="6"/>
      <c r="E9" s="6"/>
      <c r="F9" s="6"/>
      <c r="G9" s="6"/>
      <c r="H9" s="6"/>
      <c r="I9" s="6"/>
      <c r="J9" s="6"/>
      <c r="K9" s="6"/>
      <c r="L9" s="6"/>
      <c r="M9" s="8"/>
    </row>
    <row r="10" spans="1:13" ht="13.5" thickBot="1" x14ac:dyDescent="0.25">
      <c r="A10" s="5"/>
      <c r="B10" s="6"/>
      <c r="C10" s="6"/>
      <c r="D10" s="6"/>
      <c r="E10" s="6"/>
      <c r="F10" s="6"/>
      <c r="G10" s="6"/>
      <c r="H10" s="6"/>
      <c r="I10" s="6"/>
      <c r="J10" s="6"/>
      <c r="K10" s="6" t="s">
        <v>10</v>
      </c>
      <c r="L10" s="6"/>
      <c r="M10" s="8"/>
    </row>
    <row r="11" spans="1:13" ht="14.25" thickTop="1" thickBot="1" x14ac:dyDescent="0.25">
      <c r="A11" s="5"/>
      <c r="B11" s="6"/>
      <c r="C11" s="6"/>
      <c r="D11" s="6"/>
      <c r="E11" s="6"/>
      <c r="F11" s="6"/>
      <c r="G11" s="6"/>
      <c r="H11" s="6"/>
      <c r="I11" s="6"/>
      <c r="J11" s="6"/>
      <c r="K11" s="6" t="s">
        <v>0</v>
      </c>
      <c r="L11" s="9">
        <v>100</v>
      </c>
      <c r="M11" s="8"/>
    </row>
    <row r="12" spans="1:13" ht="13.5" thickTop="1" x14ac:dyDescent="0.2">
      <c r="A12" s="5"/>
      <c r="B12" s="6"/>
      <c r="C12" s="6"/>
      <c r="D12" s="6"/>
      <c r="E12" s="6"/>
      <c r="F12" s="6"/>
      <c r="G12" s="6"/>
      <c r="H12" s="6"/>
      <c r="I12" s="6"/>
      <c r="J12" s="6"/>
      <c r="K12" s="6"/>
      <c r="L12" s="6"/>
      <c r="M12" s="8"/>
    </row>
    <row r="13" spans="1:13" x14ac:dyDescent="0.2">
      <c r="A13" s="5"/>
      <c r="B13" s="6"/>
      <c r="C13" s="6"/>
      <c r="D13" s="6"/>
      <c r="E13" s="6"/>
      <c r="F13" s="6"/>
      <c r="G13" s="6"/>
      <c r="H13" s="6"/>
      <c r="I13" s="6"/>
      <c r="J13" s="6"/>
      <c r="K13" s="6"/>
      <c r="L13" s="6"/>
      <c r="M13" s="8"/>
    </row>
    <row r="14" spans="1:13" ht="13.5" thickBot="1" x14ac:dyDescent="0.25">
      <c r="A14" s="5"/>
      <c r="B14" s="6"/>
      <c r="C14" s="6"/>
      <c r="D14" s="6"/>
      <c r="E14" s="6"/>
      <c r="F14" s="6"/>
      <c r="G14" s="6"/>
      <c r="H14" s="6"/>
      <c r="I14" s="6"/>
      <c r="J14" s="6"/>
      <c r="K14" s="6" t="s">
        <v>1</v>
      </c>
      <c r="L14" s="6"/>
      <c r="M14" s="8"/>
    </row>
    <row r="15" spans="1:13" ht="14.25" thickTop="1" thickBot="1" x14ac:dyDescent="0.25">
      <c r="A15" s="5"/>
      <c r="B15" s="6"/>
      <c r="C15" s="6"/>
      <c r="D15" s="6"/>
      <c r="E15" s="6"/>
      <c r="F15" s="6"/>
      <c r="G15" s="6"/>
      <c r="H15" s="6"/>
      <c r="I15" s="6"/>
      <c r="J15" s="6"/>
      <c r="K15" s="6" t="s">
        <v>0</v>
      </c>
      <c r="L15" s="9">
        <v>8</v>
      </c>
      <c r="M15" s="8"/>
    </row>
    <row r="16" spans="1:13" ht="13.5" thickTop="1" x14ac:dyDescent="0.2">
      <c r="A16" s="5"/>
      <c r="B16" s="6"/>
      <c r="C16" s="6"/>
      <c r="D16" s="6"/>
      <c r="E16" s="6"/>
      <c r="F16" s="6"/>
      <c r="G16" s="6"/>
      <c r="H16" s="6"/>
      <c r="I16" s="6"/>
      <c r="J16" s="6"/>
      <c r="K16" s="6"/>
      <c r="L16" s="6"/>
      <c r="M16" s="8"/>
    </row>
    <row r="17" spans="1:13" x14ac:dyDescent="0.2">
      <c r="A17" s="5"/>
      <c r="B17" s="6"/>
      <c r="C17" s="6"/>
      <c r="D17" s="6"/>
      <c r="E17" s="6"/>
      <c r="F17" s="6"/>
      <c r="G17" s="6"/>
      <c r="H17" s="6"/>
      <c r="I17" s="6"/>
      <c r="J17" s="6"/>
      <c r="K17" s="6"/>
      <c r="L17" s="6"/>
      <c r="M17" s="8"/>
    </row>
    <row r="18" spans="1:13" ht="13.5" thickBot="1" x14ac:dyDescent="0.25">
      <c r="A18" s="5"/>
      <c r="B18" s="6"/>
      <c r="C18" s="6"/>
      <c r="D18" s="6"/>
      <c r="E18" s="6"/>
      <c r="F18" s="6"/>
      <c r="G18" s="6"/>
      <c r="H18" s="6"/>
      <c r="I18" s="6"/>
      <c r="J18" s="6"/>
      <c r="K18" s="6" t="s">
        <v>11</v>
      </c>
      <c r="L18" s="6"/>
      <c r="M18" s="8"/>
    </row>
    <row r="19" spans="1:13" ht="14.25" thickTop="1" thickBot="1" x14ac:dyDescent="0.25">
      <c r="A19" s="5"/>
      <c r="B19" s="6"/>
      <c r="C19" s="6"/>
      <c r="D19" s="6"/>
      <c r="E19" s="6"/>
      <c r="F19" s="6"/>
      <c r="G19" s="6"/>
      <c r="H19" s="6"/>
      <c r="I19" s="6"/>
      <c r="J19" s="6"/>
      <c r="K19" s="6" t="s">
        <v>0</v>
      </c>
      <c r="L19" s="9">
        <v>200</v>
      </c>
      <c r="M19" s="8"/>
    </row>
    <row r="20" spans="1:13" ht="13.5" thickTop="1" x14ac:dyDescent="0.2">
      <c r="A20" s="5"/>
      <c r="B20" s="6"/>
      <c r="C20" s="6"/>
      <c r="D20" s="6"/>
      <c r="E20" s="6"/>
      <c r="F20" s="6"/>
      <c r="G20" s="6"/>
      <c r="H20" s="6"/>
      <c r="I20" s="6"/>
      <c r="J20" s="6"/>
      <c r="K20" s="6"/>
      <c r="L20" s="6"/>
      <c r="M20" s="8"/>
    </row>
    <row r="21" spans="1:13" x14ac:dyDescent="0.2">
      <c r="A21" s="5"/>
      <c r="B21" s="6"/>
      <c r="C21" s="6"/>
      <c r="D21" s="6"/>
      <c r="E21" s="6"/>
      <c r="F21" s="6"/>
      <c r="G21" s="6"/>
      <c r="H21" s="6"/>
      <c r="I21" s="6"/>
      <c r="J21" s="6"/>
      <c r="K21" s="6"/>
      <c r="L21" s="6"/>
      <c r="M21" s="8"/>
    </row>
    <row r="22" spans="1:13" ht="13.5" thickBot="1" x14ac:dyDescent="0.25">
      <c r="A22" s="5"/>
      <c r="B22" s="6"/>
      <c r="C22" s="6"/>
      <c r="D22" s="6"/>
      <c r="E22" s="6"/>
      <c r="F22" s="6"/>
      <c r="G22" s="6"/>
      <c r="H22" s="6"/>
      <c r="I22" s="6"/>
      <c r="J22" s="6"/>
      <c r="K22" s="6" t="s">
        <v>12</v>
      </c>
      <c r="L22" s="6"/>
      <c r="M22" s="8"/>
    </row>
    <row r="23" spans="1:13" ht="14.25" thickTop="1" thickBot="1" x14ac:dyDescent="0.25">
      <c r="A23" s="5"/>
      <c r="B23" s="6"/>
      <c r="C23" s="6"/>
      <c r="D23" s="6"/>
      <c r="E23" s="6"/>
      <c r="F23" s="6"/>
      <c r="G23" s="6"/>
      <c r="H23" s="6"/>
      <c r="I23" s="6"/>
      <c r="J23" s="6"/>
      <c r="K23" s="6" t="s">
        <v>0</v>
      </c>
      <c r="L23" s="9">
        <v>50</v>
      </c>
      <c r="M23" s="8"/>
    </row>
    <row r="24" spans="1:13" ht="13.5" thickTop="1" x14ac:dyDescent="0.2">
      <c r="A24" s="5"/>
      <c r="B24" s="6"/>
      <c r="C24" s="6"/>
      <c r="D24" s="6"/>
      <c r="E24" s="6"/>
      <c r="F24" s="6"/>
      <c r="G24" s="6"/>
      <c r="H24" s="6"/>
      <c r="I24" s="6"/>
      <c r="J24" s="6"/>
      <c r="K24" s="6"/>
      <c r="L24" s="6"/>
      <c r="M24" s="8"/>
    </row>
    <row r="25" spans="1:13" x14ac:dyDescent="0.2">
      <c r="A25" s="5"/>
      <c r="B25" s="6"/>
      <c r="C25" s="6"/>
      <c r="D25" s="6"/>
      <c r="E25" s="6"/>
      <c r="F25" s="6"/>
      <c r="G25" s="6"/>
      <c r="H25" s="6"/>
      <c r="I25" s="6"/>
      <c r="J25" s="6"/>
      <c r="K25" s="6"/>
      <c r="L25" s="6"/>
      <c r="M25" s="8"/>
    </row>
    <row r="26" spans="1:13" x14ac:dyDescent="0.2">
      <c r="A26" s="6"/>
      <c r="B26" s="10"/>
      <c r="C26" s="6"/>
      <c r="D26" s="6"/>
      <c r="E26" s="6"/>
      <c r="F26" s="6"/>
      <c r="G26" s="6"/>
      <c r="H26" s="6"/>
      <c r="I26" s="6"/>
      <c r="J26" s="6"/>
      <c r="K26" s="6"/>
      <c r="L26" s="6"/>
      <c r="M26" s="8"/>
    </row>
    <row r="27" spans="1:13" x14ac:dyDescent="0.2">
      <c r="A27" s="6"/>
      <c r="B27" s="10"/>
      <c r="C27" s="6"/>
      <c r="D27" s="6"/>
      <c r="E27" s="6"/>
      <c r="F27" s="6"/>
      <c r="G27" s="6"/>
      <c r="H27" s="6"/>
      <c r="I27" s="6"/>
      <c r="J27" s="6"/>
      <c r="K27" s="6"/>
      <c r="L27" s="6"/>
      <c r="M27" s="8"/>
    </row>
    <row r="28" spans="1:13" x14ac:dyDescent="0.2">
      <c r="A28" s="6"/>
      <c r="B28" s="10"/>
      <c r="C28" s="6"/>
      <c r="D28" s="6"/>
      <c r="E28" s="6"/>
      <c r="F28" s="6"/>
      <c r="G28" s="6"/>
      <c r="H28" s="6"/>
      <c r="I28" s="6"/>
      <c r="J28" s="6"/>
      <c r="K28" s="6"/>
      <c r="L28" s="6"/>
      <c r="M28" s="8"/>
    </row>
    <row r="29" spans="1:13" x14ac:dyDescent="0.2">
      <c r="A29" s="11"/>
      <c r="B29" s="12"/>
      <c r="C29" s="11"/>
      <c r="D29" s="11"/>
      <c r="E29" s="11"/>
      <c r="F29" s="11"/>
      <c r="G29" s="11"/>
      <c r="H29" s="11"/>
      <c r="I29" s="11"/>
      <c r="J29" s="11"/>
      <c r="K29" s="11"/>
      <c r="L29" s="11"/>
      <c r="M29" s="13"/>
    </row>
    <row r="30" spans="1:13" x14ac:dyDescent="0.2">
      <c r="B30" s="3"/>
    </row>
    <row r="31" spans="1:13" x14ac:dyDescent="0.2">
      <c r="B31" s="3"/>
    </row>
    <row r="32" spans="1:13" x14ac:dyDescent="0.2">
      <c r="B32" s="3"/>
    </row>
    <row r="33" spans="1:5" x14ac:dyDescent="0.2">
      <c r="B33" s="3"/>
      <c r="D33" t="s">
        <v>2</v>
      </c>
    </row>
    <row r="34" spans="1:5" x14ac:dyDescent="0.2">
      <c r="B34" s="3" t="s">
        <v>7</v>
      </c>
      <c r="D34">
        <v>1</v>
      </c>
    </row>
    <row r="35" spans="1:5" x14ac:dyDescent="0.2">
      <c r="B35" t="s">
        <v>8</v>
      </c>
    </row>
    <row r="36" spans="1:5" x14ac:dyDescent="0.2">
      <c r="A36" s="1" t="s">
        <v>3</v>
      </c>
      <c r="B36" s="1" t="s">
        <v>4</v>
      </c>
      <c r="C36" s="1" t="s">
        <v>5</v>
      </c>
      <c r="D36" s="1" t="s">
        <v>9</v>
      </c>
      <c r="E36" s="1" t="s">
        <v>13</v>
      </c>
    </row>
    <row r="37" spans="1:5" x14ac:dyDescent="0.2">
      <c r="A37" s="4">
        <v>0</v>
      </c>
      <c r="B37" s="2">
        <f t="shared" ref="B37:B68" si="0">IntrValue(A37,$L$11,$D$34)</f>
        <v>0</v>
      </c>
      <c r="C37" s="2">
        <f t="shared" ref="C37:C68" si="1">LB(A37,$L$11,$L$15,$L$19,$D$34)</f>
        <v>0</v>
      </c>
      <c r="D37" s="2">
        <f t="shared" ref="D37:D68" si="2">IF(A37&gt;0,OpPrice(A37,$L$11,$L$15,$L$19,$L$23,$D$34),IF(D34=1,MAX(0,A37-$L$11*(1+$L$15/100)^(-($L$19/365))),MAX(0,$L$11*(1+$L$15/100)^(-($L$19/365)))-A37))</f>
        <v>0</v>
      </c>
      <c r="E37">
        <f t="shared" ref="E37:E68" si="3">IF($D$34=1,A37,$L$11*(1+$L$15/100)^(-$L$19/365))</f>
        <v>0</v>
      </c>
    </row>
    <row r="38" spans="1:5" x14ac:dyDescent="0.2">
      <c r="A38" s="4">
        <v>2</v>
      </c>
      <c r="B38" s="2">
        <f t="shared" si="0"/>
        <v>0</v>
      </c>
      <c r="C38" s="2">
        <f t="shared" si="1"/>
        <v>0</v>
      </c>
      <c r="D38" s="2">
        <f t="shared" si="2"/>
        <v>3.2646176372459322E-26</v>
      </c>
      <c r="E38">
        <f t="shared" si="3"/>
        <v>2</v>
      </c>
    </row>
    <row r="39" spans="1:5" x14ac:dyDescent="0.2">
      <c r="A39" s="4">
        <v>4</v>
      </c>
      <c r="B39" s="2">
        <f t="shared" si="0"/>
        <v>0</v>
      </c>
      <c r="C39" s="2">
        <f t="shared" si="1"/>
        <v>0</v>
      </c>
      <c r="D39" s="2">
        <f t="shared" si="2"/>
        <v>3.7407302639693676E-18</v>
      </c>
      <c r="E39">
        <f t="shared" si="3"/>
        <v>4</v>
      </c>
    </row>
    <row r="40" spans="1:5" x14ac:dyDescent="0.2">
      <c r="A40" s="4">
        <v>6</v>
      </c>
      <c r="B40" s="2">
        <f t="shared" si="0"/>
        <v>0</v>
      </c>
      <c r="C40" s="2">
        <f t="shared" si="1"/>
        <v>0</v>
      </c>
      <c r="D40" s="2">
        <f t="shared" si="2"/>
        <v>3.9589299077539163E-14</v>
      </c>
      <c r="E40">
        <f t="shared" si="3"/>
        <v>6</v>
      </c>
    </row>
    <row r="41" spans="1:5" x14ac:dyDescent="0.2">
      <c r="A41" s="4">
        <v>8</v>
      </c>
      <c r="B41" s="2">
        <f t="shared" si="0"/>
        <v>0</v>
      </c>
      <c r="C41" s="2">
        <f t="shared" si="1"/>
        <v>0</v>
      </c>
      <c r="D41" s="2">
        <f t="shared" si="2"/>
        <v>1.4015201451313448E-11</v>
      </c>
      <c r="E41">
        <f t="shared" si="3"/>
        <v>8</v>
      </c>
    </row>
    <row r="42" spans="1:5" x14ac:dyDescent="0.2">
      <c r="A42" s="4">
        <v>10</v>
      </c>
      <c r="B42" s="2">
        <f t="shared" si="0"/>
        <v>0</v>
      </c>
      <c r="C42" s="2">
        <f t="shared" si="1"/>
        <v>0</v>
      </c>
      <c r="D42" s="2">
        <f t="shared" si="2"/>
        <v>8.9076610202445942E-10</v>
      </c>
      <c r="E42">
        <f t="shared" si="3"/>
        <v>10</v>
      </c>
    </row>
    <row r="43" spans="1:5" x14ac:dyDescent="0.2">
      <c r="A43" s="4">
        <v>12</v>
      </c>
      <c r="B43" s="2">
        <f t="shared" si="0"/>
        <v>0</v>
      </c>
      <c r="C43" s="2">
        <f t="shared" si="1"/>
        <v>0</v>
      </c>
      <c r="D43" s="2">
        <f t="shared" si="2"/>
        <v>2.046264770102864E-8</v>
      </c>
      <c r="E43">
        <f t="shared" si="3"/>
        <v>12</v>
      </c>
    </row>
    <row r="44" spans="1:5" x14ac:dyDescent="0.2">
      <c r="A44" s="4">
        <v>14</v>
      </c>
      <c r="B44" s="2">
        <f t="shared" si="0"/>
        <v>0</v>
      </c>
      <c r="C44" s="2">
        <f t="shared" si="1"/>
        <v>0</v>
      </c>
      <c r="D44" s="2">
        <f t="shared" si="2"/>
        <v>2.4194816489686218E-7</v>
      </c>
      <c r="E44">
        <f t="shared" si="3"/>
        <v>14</v>
      </c>
    </row>
    <row r="45" spans="1:5" x14ac:dyDescent="0.2">
      <c r="A45" s="4">
        <v>16</v>
      </c>
      <c r="B45" s="2">
        <f t="shared" si="0"/>
        <v>0</v>
      </c>
      <c r="C45" s="2">
        <f t="shared" si="1"/>
        <v>0</v>
      </c>
      <c r="D45" s="2">
        <f t="shared" si="2"/>
        <v>1.8010779564051846E-6</v>
      </c>
      <c r="E45">
        <f t="shared" si="3"/>
        <v>16</v>
      </c>
    </row>
    <row r="46" spans="1:5" x14ac:dyDescent="0.2">
      <c r="A46" s="4">
        <v>18</v>
      </c>
      <c r="B46" s="2">
        <f t="shared" si="0"/>
        <v>0</v>
      </c>
      <c r="C46" s="2">
        <f t="shared" si="1"/>
        <v>0</v>
      </c>
      <c r="D46" s="2">
        <f t="shared" si="2"/>
        <v>9.5622736766920815E-6</v>
      </c>
      <c r="E46">
        <f t="shared" si="3"/>
        <v>18</v>
      </c>
    </row>
    <row r="47" spans="1:5" x14ac:dyDescent="0.2">
      <c r="A47" s="4">
        <v>20</v>
      </c>
      <c r="B47" s="2">
        <f t="shared" si="0"/>
        <v>0</v>
      </c>
      <c r="C47" s="2">
        <f t="shared" si="1"/>
        <v>0</v>
      </c>
      <c r="D47" s="2">
        <f t="shared" si="2"/>
        <v>3.9305757745310892E-5</v>
      </c>
      <c r="E47">
        <f t="shared" si="3"/>
        <v>20</v>
      </c>
    </row>
    <row r="48" spans="1:5" x14ac:dyDescent="0.2">
      <c r="A48" s="4">
        <v>22</v>
      </c>
      <c r="B48" s="2">
        <f t="shared" si="0"/>
        <v>0</v>
      </c>
      <c r="C48" s="2">
        <f t="shared" si="1"/>
        <v>0</v>
      </c>
      <c r="D48" s="2">
        <f t="shared" si="2"/>
        <v>1.3237349545142606E-4</v>
      </c>
      <c r="E48">
        <f t="shared" si="3"/>
        <v>22</v>
      </c>
    </row>
    <row r="49" spans="1:5" x14ac:dyDescent="0.2">
      <c r="A49" s="4">
        <v>24</v>
      </c>
      <c r="B49" s="2">
        <f t="shared" si="0"/>
        <v>0</v>
      </c>
      <c r="C49" s="2">
        <f t="shared" si="1"/>
        <v>0</v>
      </c>
      <c r="D49" s="2">
        <f t="shared" si="2"/>
        <v>3.8035584953708627E-4</v>
      </c>
      <c r="E49">
        <f t="shared" si="3"/>
        <v>24</v>
      </c>
    </row>
    <row r="50" spans="1:5" x14ac:dyDescent="0.2">
      <c r="A50" s="4">
        <v>26</v>
      </c>
      <c r="B50" s="2">
        <f t="shared" si="0"/>
        <v>0</v>
      </c>
      <c r="C50" s="2">
        <f t="shared" si="1"/>
        <v>0</v>
      </c>
      <c r="D50" s="2">
        <f t="shared" si="2"/>
        <v>9.6073013285895813E-4</v>
      </c>
      <c r="E50">
        <f t="shared" si="3"/>
        <v>26</v>
      </c>
    </row>
    <row r="51" spans="1:5" x14ac:dyDescent="0.2">
      <c r="A51" s="4">
        <v>28</v>
      </c>
      <c r="B51" s="2">
        <f t="shared" si="0"/>
        <v>0</v>
      </c>
      <c r="C51" s="2">
        <f t="shared" si="1"/>
        <v>0</v>
      </c>
      <c r="D51" s="2">
        <f t="shared" si="2"/>
        <v>2.1819795342692613E-3</v>
      </c>
      <c r="E51">
        <f t="shared" si="3"/>
        <v>28</v>
      </c>
    </row>
    <row r="52" spans="1:5" x14ac:dyDescent="0.2">
      <c r="A52" s="4">
        <v>30</v>
      </c>
      <c r="B52" s="2">
        <f t="shared" si="0"/>
        <v>0</v>
      </c>
      <c r="C52" s="2">
        <f t="shared" si="1"/>
        <v>0</v>
      </c>
      <c r="D52" s="2">
        <f t="shared" si="2"/>
        <v>4.5344044671124725E-3</v>
      </c>
      <c r="E52">
        <f t="shared" si="3"/>
        <v>30</v>
      </c>
    </row>
    <row r="53" spans="1:5" x14ac:dyDescent="0.2">
      <c r="A53" s="4">
        <v>32</v>
      </c>
      <c r="B53" s="2">
        <f t="shared" si="0"/>
        <v>0</v>
      </c>
      <c r="C53" s="2">
        <f t="shared" si="1"/>
        <v>0</v>
      </c>
      <c r="D53" s="2">
        <f t="shared" si="2"/>
        <v>8.7412610172392796E-3</v>
      </c>
      <c r="E53">
        <f t="shared" si="3"/>
        <v>32</v>
      </c>
    </row>
    <row r="54" spans="1:5" x14ac:dyDescent="0.2">
      <c r="A54" s="4">
        <v>34</v>
      </c>
      <c r="B54" s="2">
        <f t="shared" si="0"/>
        <v>0</v>
      </c>
      <c r="C54" s="2">
        <f t="shared" si="1"/>
        <v>0</v>
      </c>
      <c r="D54" s="2">
        <f t="shared" si="2"/>
        <v>1.580436149705966E-2</v>
      </c>
      <c r="E54">
        <f t="shared" si="3"/>
        <v>34</v>
      </c>
    </row>
    <row r="55" spans="1:5" x14ac:dyDescent="0.2">
      <c r="A55" s="4">
        <v>36</v>
      </c>
      <c r="B55" s="2">
        <f t="shared" si="0"/>
        <v>0</v>
      </c>
      <c r="C55" s="2">
        <f t="shared" si="1"/>
        <v>0</v>
      </c>
      <c r="D55" s="2">
        <f t="shared" si="2"/>
        <v>2.7038831255981499E-2</v>
      </c>
      <c r="E55">
        <f t="shared" si="3"/>
        <v>36</v>
      </c>
    </row>
    <row r="56" spans="1:5" x14ac:dyDescent="0.2">
      <c r="A56" s="4">
        <v>38</v>
      </c>
      <c r="B56" s="2">
        <f t="shared" si="0"/>
        <v>0</v>
      </c>
      <c r="C56" s="2">
        <f t="shared" si="1"/>
        <v>0</v>
      </c>
      <c r="D56" s="2">
        <f t="shared" si="2"/>
        <v>4.4093065010762045E-2</v>
      </c>
      <c r="E56">
        <f t="shared" si="3"/>
        <v>38</v>
      </c>
    </row>
    <row r="57" spans="1:5" x14ac:dyDescent="0.2">
      <c r="A57" s="4">
        <v>40</v>
      </c>
      <c r="B57" s="2">
        <f t="shared" si="0"/>
        <v>0</v>
      </c>
      <c r="C57" s="2">
        <f t="shared" si="1"/>
        <v>0</v>
      </c>
      <c r="D57" s="2">
        <f t="shared" si="2"/>
        <v>6.8951691103740553E-2</v>
      </c>
      <c r="E57">
        <f t="shared" si="3"/>
        <v>40</v>
      </c>
    </row>
    <row r="58" spans="1:5" x14ac:dyDescent="0.2">
      <c r="A58" s="4">
        <v>42</v>
      </c>
      <c r="B58" s="2">
        <f t="shared" si="0"/>
        <v>0</v>
      </c>
      <c r="C58" s="2">
        <f t="shared" si="1"/>
        <v>0</v>
      </c>
      <c r="D58" s="2">
        <f t="shared" si="2"/>
        <v>0.10392117388880495</v>
      </c>
      <c r="E58">
        <f t="shared" si="3"/>
        <v>42</v>
      </c>
    </row>
    <row r="59" spans="1:5" x14ac:dyDescent="0.2">
      <c r="A59" s="4">
        <v>44</v>
      </c>
      <c r="B59" s="2">
        <f t="shared" si="0"/>
        <v>0</v>
      </c>
      <c r="C59" s="2">
        <f t="shared" si="1"/>
        <v>0</v>
      </c>
      <c r="D59" s="2">
        <f t="shared" si="2"/>
        <v>0.15159928873655337</v>
      </c>
      <c r="E59">
        <f t="shared" si="3"/>
        <v>44</v>
      </c>
    </row>
    <row r="60" spans="1:5" x14ac:dyDescent="0.2">
      <c r="A60" s="4">
        <v>46</v>
      </c>
      <c r="B60" s="2">
        <f t="shared" si="0"/>
        <v>0</v>
      </c>
      <c r="C60" s="2">
        <f t="shared" si="1"/>
        <v>0</v>
      </c>
      <c r="D60" s="2">
        <f t="shared" si="2"/>
        <v>0.2148309264295305</v>
      </c>
      <c r="E60">
        <f t="shared" si="3"/>
        <v>46</v>
      </c>
    </row>
    <row r="61" spans="1:5" x14ac:dyDescent="0.2">
      <c r="A61" s="4">
        <v>48</v>
      </c>
      <c r="B61" s="2">
        <f t="shared" si="0"/>
        <v>0</v>
      </c>
      <c r="C61" s="2">
        <f t="shared" si="1"/>
        <v>0</v>
      </c>
      <c r="D61" s="2">
        <f t="shared" si="2"/>
        <v>0.29665346148458016</v>
      </c>
      <c r="E61">
        <f t="shared" si="3"/>
        <v>48</v>
      </c>
    </row>
    <row r="62" spans="1:5" x14ac:dyDescent="0.2">
      <c r="A62" s="4">
        <v>50</v>
      </c>
      <c r="B62" s="2">
        <f t="shared" si="0"/>
        <v>0</v>
      </c>
      <c r="C62" s="2">
        <f t="shared" si="1"/>
        <v>0</v>
      </c>
      <c r="D62" s="2">
        <f t="shared" si="2"/>
        <v>0.40023526762905881</v>
      </c>
      <c r="E62">
        <f t="shared" si="3"/>
        <v>50</v>
      </c>
    </row>
    <row r="63" spans="1:5" x14ac:dyDescent="0.2">
      <c r="A63" s="4">
        <v>52</v>
      </c>
      <c r="B63" s="2">
        <f t="shared" si="0"/>
        <v>0</v>
      </c>
      <c r="C63" s="2">
        <f t="shared" si="1"/>
        <v>0</v>
      </c>
      <c r="D63" s="2">
        <f t="shared" si="2"/>
        <v>0.5288109481407024</v>
      </c>
      <c r="E63">
        <f t="shared" si="3"/>
        <v>52</v>
      </c>
    </row>
    <row r="64" spans="1:5" x14ac:dyDescent="0.2">
      <c r="A64" s="4">
        <v>54</v>
      </c>
      <c r="B64" s="2">
        <f t="shared" si="0"/>
        <v>0</v>
      </c>
      <c r="C64" s="2">
        <f t="shared" si="1"/>
        <v>0</v>
      </c>
      <c r="D64" s="2">
        <f t="shared" si="2"/>
        <v>0.68561655770033836</v>
      </c>
      <c r="E64">
        <f t="shared" si="3"/>
        <v>54</v>
      </c>
    </row>
    <row r="65" spans="1:5" x14ac:dyDescent="0.2">
      <c r="A65" s="4">
        <v>56</v>
      </c>
      <c r="B65" s="2">
        <f t="shared" si="0"/>
        <v>0</v>
      </c>
      <c r="C65" s="2">
        <f t="shared" si="1"/>
        <v>0</v>
      </c>
      <c r="D65" s="2">
        <f t="shared" si="2"/>
        <v>0.87382761878577142</v>
      </c>
      <c r="E65">
        <f t="shared" si="3"/>
        <v>56</v>
      </c>
    </row>
    <row r="66" spans="1:5" x14ac:dyDescent="0.2">
      <c r="A66" s="4">
        <v>58</v>
      </c>
      <c r="B66" s="2">
        <f t="shared" si="0"/>
        <v>0</v>
      </c>
      <c r="C66" s="2">
        <f t="shared" si="1"/>
        <v>0</v>
      </c>
      <c r="D66" s="2">
        <f t="shared" si="2"/>
        <v>1.0965021640505865</v>
      </c>
      <c r="E66">
        <f t="shared" si="3"/>
        <v>58</v>
      </c>
    </row>
    <row r="67" spans="1:5" x14ac:dyDescent="0.2">
      <c r="A67" s="4">
        <v>60</v>
      </c>
      <c r="B67" s="2">
        <f t="shared" si="0"/>
        <v>0</v>
      </c>
      <c r="C67" s="2">
        <f t="shared" si="1"/>
        <v>0</v>
      </c>
      <c r="D67" s="2">
        <f t="shared" si="2"/>
        <v>1.3565304359877599</v>
      </c>
      <c r="E67">
        <f t="shared" si="3"/>
        <v>60</v>
      </c>
    </row>
    <row r="68" spans="1:5" x14ac:dyDescent="0.2">
      <c r="A68" s="4">
        <v>62</v>
      </c>
      <c r="B68" s="2">
        <f t="shared" si="0"/>
        <v>0</v>
      </c>
      <c r="C68" s="2">
        <f t="shared" si="1"/>
        <v>0</v>
      </c>
      <c r="D68" s="2">
        <f t="shared" si="2"/>
        <v>1.65659229831933</v>
      </c>
      <c r="E68">
        <f t="shared" si="3"/>
        <v>62</v>
      </c>
    </row>
    <row r="69" spans="1:5" x14ac:dyDescent="0.2">
      <c r="A69" s="4">
        <v>64</v>
      </c>
      <c r="B69" s="2">
        <f t="shared" ref="B69:B100" si="4">IntrValue(A69,$L$11,$D$34)</f>
        <v>0</v>
      </c>
      <c r="C69" s="2">
        <f t="shared" ref="C69:C100" si="5">LB(A69,$L$11,$L$15,$L$19,$D$34)</f>
        <v>0</v>
      </c>
      <c r="D69" s="2">
        <f t="shared" ref="D69:D100" si="6">IF(A69&gt;0,OpPrice(A69,$L$11,$L$15,$L$19,$L$23,$D$34),IF(D66=1,MAX(0,A69-$L$11*(1+$L$15/100)^(-($L$19/365))),MAX(0,$L$11*(1+$L$15/100)^(-($L$19/365)))-A69))</f>
        <v>1.9991228948468081</v>
      </c>
      <c r="E69">
        <f t="shared" ref="E69:E100" si="7">IF($D$34=1,A69,$L$11*(1+$L$15/100)^(-$L$19/365))</f>
        <v>64</v>
      </c>
    </row>
    <row r="70" spans="1:5" x14ac:dyDescent="0.2">
      <c r="A70" s="4">
        <v>66</v>
      </c>
      <c r="B70" s="2">
        <f t="shared" si="4"/>
        <v>0</v>
      </c>
      <c r="C70" s="2">
        <f t="shared" si="5"/>
        <v>0</v>
      </c>
      <c r="D70" s="2">
        <f t="shared" si="6"/>
        <v>2.3862866510831768</v>
      </c>
      <c r="E70">
        <f t="shared" si="7"/>
        <v>66</v>
      </c>
    </row>
    <row r="71" spans="1:5" x14ac:dyDescent="0.2">
      <c r="A71" s="4">
        <v>68</v>
      </c>
      <c r="B71" s="2">
        <f t="shared" si="4"/>
        <v>0</v>
      </c>
      <c r="C71" s="2">
        <f t="shared" si="5"/>
        <v>0</v>
      </c>
      <c r="D71" s="2">
        <f t="shared" si="6"/>
        <v>2.8199593602691753</v>
      </c>
      <c r="E71">
        <f t="shared" si="7"/>
        <v>68</v>
      </c>
    </row>
    <row r="72" spans="1:5" x14ac:dyDescent="0.2">
      <c r="A72" s="4">
        <v>70</v>
      </c>
      <c r="B72" s="2">
        <f t="shared" si="4"/>
        <v>0</v>
      </c>
      <c r="C72" s="2">
        <f t="shared" si="5"/>
        <v>0</v>
      </c>
      <c r="D72" s="2">
        <f t="shared" si="6"/>
        <v>3.3017178280964092</v>
      </c>
      <c r="E72">
        <f t="shared" si="7"/>
        <v>70</v>
      </c>
    </row>
    <row r="73" spans="1:5" x14ac:dyDescent="0.2">
      <c r="A73" s="4">
        <v>72</v>
      </c>
      <c r="B73" s="2">
        <f t="shared" si="4"/>
        <v>0</v>
      </c>
      <c r="C73" s="2">
        <f t="shared" si="5"/>
        <v>0</v>
      </c>
      <c r="D73" s="2">
        <f t="shared" si="6"/>
        <v>3.832836363501908</v>
      </c>
      <c r="E73">
        <f t="shared" si="7"/>
        <v>72</v>
      </c>
    </row>
    <row r="74" spans="1:5" x14ac:dyDescent="0.2">
      <c r="A74" s="4">
        <v>74</v>
      </c>
      <c r="B74" s="2">
        <f t="shared" si="4"/>
        <v>0</v>
      </c>
      <c r="C74" s="2">
        <f t="shared" si="5"/>
        <v>0</v>
      </c>
      <c r="D74" s="2">
        <f t="shared" si="6"/>
        <v>4.4142892866277279</v>
      </c>
      <c r="E74">
        <f t="shared" si="7"/>
        <v>74</v>
      </c>
    </row>
    <row r="75" spans="1:5" x14ac:dyDescent="0.2">
      <c r="A75" s="4">
        <v>76</v>
      </c>
      <c r="B75" s="2">
        <f t="shared" si="4"/>
        <v>0</v>
      </c>
      <c r="C75" s="2">
        <f t="shared" si="5"/>
        <v>0</v>
      </c>
      <c r="D75" s="2">
        <f t="shared" si="6"/>
        <v>5.0467585681216711</v>
      </c>
      <c r="E75">
        <f t="shared" si="7"/>
        <v>76</v>
      </c>
    </row>
    <row r="76" spans="1:5" x14ac:dyDescent="0.2">
      <c r="A76" s="4">
        <v>78</v>
      </c>
      <c r="B76" s="2">
        <f t="shared" si="4"/>
        <v>0</v>
      </c>
      <c r="C76" s="2">
        <f t="shared" si="5"/>
        <v>0</v>
      </c>
      <c r="D76" s="2">
        <f t="shared" si="6"/>
        <v>5.7306457046894543</v>
      </c>
      <c r="E76">
        <f t="shared" si="7"/>
        <v>78</v>
      </c>
    </row>
    <row r="77" spans="1:5" x14ac:dyDescent="0.2">
      <c r="A77" s="4">
        <v>80</v>
      </c>
      <c r="B77" s="2">
        <f t="shared" si="4"/>
        <v>0</v>
      </c>
      <c r="C77" s="2">
        <f t="shared" si="5"/>
        <v>0</v>
      </c>
      <c r="D77" s="2">
        <f t="shared" si="6"/>
        <v>6.4660869630260933</v>
      </c>
      <c r="E77">
        <f t="shared" si="7"/>
        <v>80</v>
      </c>
    </row>
    <row r="78" spans="1:5" x14ac:dyDescent="0.2">
      <c r="A78" s="4">
        <v>82</v>
      </c>
      <c r="B78" s="2">
        <f t="shared" si="4"/>
        <v>0</v>
      </c>
      <c r="C78" s="2">
        <f t="shared" si="5"/>
        <v>0</v>
      </c>
      <c r="D78" s="2">
        <f t="shared" si="6"/>
        <v>7.252971177872773</v>
      </c>
      <c r="E78">
        <f t="shared" si="7"/>
        <v>82</v>
      </c>
    </row>
    <row r="79" spans="1:5" x14ac:dyDescent="0.2">
      <c r="A79" s="4">
        <v>84</v>
      </c>
      <c r="B79" s="2">
        <f t="shared" si="4"/>
        <v>0</v>
      </c>
      <c r="C79" s="2">
        <f t="shared" si="5"/>
        <v>0</v>
      </c>
      <c r="D79" s="2">
        <f t="shared" si="6"/>
        <v>8.0909593612637067</v>
      </c>
      <c r="E79">
        <f t="shared" si="7"/>
        <v>84</v>
      </c>
    </row>
    <row r="80" spans="1:5" x14ac:dyDescent="0.2">
      <c r="A80" s="4">
        <v>86</v>
      </c>
      <c r="B80" s="2">
        <f t="shared" si="4"/>
        <v>0</v>
      </c>
      <c r="C80" s="2">
        <f t="shared" si="5"/>
        <v>0</v>
      </c>
      <c r="D80" s="2">
        <f t="shared" si="6"/>
        <v>8.9795054618149024</v>
      </c>
      <c r="E80">
        <f t="shared" si="7"/>
        <v>86</v>
      </c>
    </row>
    <row r="81" spans="1:5" x14ac:dyDescent="0.2">
      <c r="A81" s="4">
        <v>88</v>
      </c>
      <c r="B81" s="2">
        <f t="shared" si="4"/>
        <v>0</v>
      </c>
      <c r="C81" s="2">
        <f t="shared" si="5"/>
        <v>0</v>
      </c>
      <c r="D81" s="2">
        <f t="shared" si="6"/>
        <v>9.9178776993826361</v>
      </c>
      <c r="E81">
        <f t="shared" si="7"/>
        <v>88</v>
      </c>
    </row>
    <row r="82" spans="1:5" x14ac:dyDescent="0.2">
      <c r="A82" s="4">
        <v>90</v>
      </c>
      <c r="B82" s="2">
        <f t="shared" si="4"/>
        <v>0</v>
      </c>
      <c r="C82" s="2">
        <f t="shared" si="5"/>
        <v>0</v>
      </c>
      <c r="D82" s="2">
        <f t="shared" si="6"/>
        <v>10.905179987127639</v>
      </c>
      <c r="E82">
        <f t="shared" si="7"/>
        <v>90</v>
      </c>
    </row>
    <row r="83" spans="1:5" x14ac:dyDescent="0.2">
      <c r="A83" s="4">
        <v>92</v>
      </c>
      <c r="B83" s="2">
        <f t="shared" si="4"/>
        <v>0</v>
      </c>
      <c r="C83" s="2">
        <f t="shared" si="5"/>
        <v>0</v>
      </c>
      <c r="D83" s="2">
        <f t="shared" si="6"/>
        <v>11.940373036682537</v>
      </c>
      <c r="E83">
        <f t="shared" si="7"/>
        <v>92</v>
      </c>
    </row>
    <row r="84" spans="1:5" x14ac:dyDescent="0.2">
      <c r="A84" s="4">
        <v>94</v>
      </c>
      <c r="B84" s="2">
        <f t="shared" si="4"/>
        <v>0</v>
      </c>
      <c r="C84" s="2">
        <f t="shared" si="5"/>
        <v>0</v>
      </c>
      <c r="D84" s="2">
        <f t="shared" si="6"/>
        <v>13.022294820448671</v>
      </c>
      <c r="E84">
        <f t="shared" si="7"/>
        <v>94</v>
      </c>
    </row>
    <row r="85" spans="1:5" x14ac:dyDescent="0.2">
      <c r="A85" s="4">
        <v>96</v>
      </c>
      <c r="B85" s="2">
        <f t="shared" si="4"/>
        <v>0</v>
      </c>
      <c r="C85" s="2">
        <f t="shared" si="5"/>
        <v>0.12936290339108325</v>
      </c>
      <c r="D85" s="2">
        <f t="shared" si="6"/>
        <v>14.149680136578581</v>
      </c>
      <c r="E85">
        <f t="shared" si="7"/>
        <v>96</v>
      </c>
    </row>
    <row r="86" spans="1:5" x14ac:dyDescent="0.2">
      <c r="A86" s="4">
        <v>98</v>
      </c>
      <c r="B86" s="2">
        <f t="shared" si="4"/>
        <v>0</v>
      </c>
      <c r="C86" s="2">
        <f t="shared" si="5"/>
        <v>2.1293629033910833</v>
      </c>
      <c r="D86" s="2">
        <f t="shared" si="6"/>
        <v>15.321179086117979</v>
      </c>
      <c r="E86">
        <f t="shared" si="7"/>
        <v>98</v>
      </c>
    </row>
    <row r="87" spans="1:5" x14ac:dyDescent="0.2">
      <c r="A87" s="4">
        <v>100</v>
      </c>
      <c r="B87" s="2">
        <f t="shared" si="4"/>
        <v>0</v>
      </c>
      <c r="C87" s="2">
        <f t="shared" si="5"/>
        <v>4.1293629033910833</v>
      </c>
      <c r="D87" s="2">
        <f t="shared" si="6"/>
        <v>16.535374327776914</v>
      </c>
      <c r="E87">
        <f t="shared" si="7"/>
        <v>100</v>
      </c>
    </row>
    <row r="88" spans="1:5" x14ac:dyDescent="0.2">
      <c r="A88" s="4">
        <v>102</v>
      </c>
      <c r="B88" s="2">
        <f t="shared" si="4"/>
        <v>2</v>
      </c>
      <c r="C88" s="2">
        <f t="shared" si="5"/>
        <v>6.1293629033910833</v>
      </c>
      <c r="D88" s="2">
        <f t="shared" si="6"/>
        <v>17.790797023939042</v>
      </c>
      <c r="E88">
        <f t="shared" si="7"/>
        <v>102</v>
      </c>
    </row>
    <row r="89" spans="1:5" x14ac:dyDescent="0.2">
      <c r="A89" s="4">
        <v>104</v>
      </c>
      <c r="B89" s="2">
        <f t="shared" si="4"/>
        <v>4</v>
      </c>
      <c r="C89" s="2">
        <f t="shared" si="5"/>
        <v>8.1293629033910833</v>
      </c>
      <c r="D89" s="2">
        <f t="shared" si="6"/>
        <v>19.085941432133495</v>
      </c>
      <c r="E89">
        <f t="shared" si="7"/>
        <v>104</v>
      </c>
    </row>
    <row r="90" spans="1:5" x14ac:dyDescent="0.2">
      <c r="A90" s="4">
        <v>106</v>
      </c>
      <c r="B90" s="2">
        <f t="shared" si="4"/>
        <v>6</v>
      </c>
      <c r="C90" s="2">
        <f t="shared" si="5"/>
        <v>10.129362903391083</v>
      </c>
      <c r="D90" s="2">
        <f t="shared" si="6"/>
        <v>20.419278129798059</v>
      </c>
      <c r="E90">
        <f t="shared" si="7"/>
        <v>106</v>
      </c>
    </row>
    <row r="91" spans="1:5" x14ac:dyDescent="0.2">
      <c r="A91" s="4">
        <v>108</v>
      </c>
      <c r="B91" s="2">
        <f t="shared" si="4"/>
        <v>8</v>
      </c>
      <c r="C91" s="2">
        <f t="shared" si="5"/>
        <v>12.129362903391083</v>
      </c>
      <c r="D91" s="2">
        <f t="shared" si="6"/>
        <v>21.789265887375763</v>
      </c>
      <c r="E91">
        <f t="shared" si="7"/>
        <v>108</v>
      </c>
    </row>
    <row r="92" spans="1:5" x14ac:dyDescent="0.2">
      <c r="A92" s="4">
        <v>110</v>
      </c>
      <c r="B92" s="2">
        <f t="shared" si="4"/>
        <v>10</v>
      </c>
      <c r="C92" s="2">
        <f t="shared" si="5"/>
        <v>14.129362903391083</v>
      </c>
      <c r="D92" s="2">
        <f t="shared" si="6"/>
        <v>23.194362226289577</v>
      </c>
      <c r="E92">
        <f t="shared" si="7"/>
        <v>110</v>
      </c>
    </row>
    <row r="93" spans="1:5" x14ac:dyDescent="0.2">
      <c r="A93" s="4">
        <v>112</v>
      </c>
      <c r="B93" s="2">
        <f t="shared" si="4"/>
        <v>12</v>
      </c>
      <c r="C93" s="2">
        <f t="shared" si="5"/>
        <v>16.129362903391083</v>
      </c>
      <c r="D93" s="2">
        <f t="shared" si="6"/>
        <v>24.633032714820466</v>
      </c>
      <c r="E93">
        <f t="shared" si="7"/>
        <v>112</v>
      </c>
    </row>
    <row r="94" spans="1:5" x14ac:dyDescent="0.2">
      <c r="A94" s="4">
        <v>114</v>
      </c>
      <c r="B94" s="2">
        <f t="shared" si="4"/>
        <v>14</v>
      </c>
      <c r="C94" s="2">
        <f t="shared" si="5"/>
        <v>18.129362903391083</v>
      </c>
      <c r="D94" s="2">
        <f t="shared" si="6"/>
        <v>26.103759067054554</v>
      </c>
      <c r="E94">
        <f t="shared" si="7"/>
        <v>114</v>
      </c>
    </row>
    <row r="95" spans="1:5" x14ac:dyDescent="0.2">
      <c r="A95" s="4">
        <v>116</v>
      </c>
      <c r="B95" s="2">
        <f t="shared" si="4"/>
        <v>16</v>
      </c>
      <c r="C95" s="2">
        <f t="shared" si="5"/>
        <v>20.129362903391083</v>
      </c>
      <c r="D95" s="2">
        <f t="shared" si="6"/>
        <v>27.605046118507651</v>
      </c>
      <c r="E95">
        <f t="shared" si="7"/>
        <v>116</v>
      </c>
    </row>
    <row r="96" spans="1:5" x14ac:dyDescent="0.2">
      <c r="A96" s="4">
        <v>118</v>
      </c>
      <c r="B96" s="2">
        <f t="shared" si="4"/>
        <v>18</v>
      </c>
      <c r="C96" s="2">
        <f t="shared" si="5"/>
        <v>22.129362903391083</v>
      </c>
      <c r="D96" s="2">
        <f t="shared" si="6"/>
        <v>29.13542775737735</v>
      </c>
      <c r="E96">
        <f t="shared" si="7"/>
        <v>118</v>
      </c>
    </row>
    <row r="97" spans="1:5" x14ac:dyDescent="0.2">
      <c r="A97" s="4">
        <v>120</v>
      </c>
      <c r="B97" s="2">
        <f t="shared" si="4"/>
        <v>20</v>
      </c>
      <c r="C97" s="2">
        <f t="shared" si="5"/>
        <v>24.129362903391083</v>
      </c>
      <c r="D97" s="2">
        <f t="shared" si="6"/>
        <v>30.693471893156669</v>
      </c>
      <c r="E97">
        <f t="shared" si="7"/>
        <v>120</v>
      </c>
    </row>
    <row r="98" spans="1:5" x14ac:dyDescent="0.2">
      <c r="A98" s="4">
        <v>122</v>
      </c>
      <c r="B98" s="2">
        <f t="shared" si="4"/>
        <v>22</v>
      </c>
      <c r="C98" s="2">
        <f t="shared" si="5"/>
        <v>26.129362903391083</v>
      </c>
      <c r="D98" s="2">
        <f t="shared" si="6"/>
        <v>32.277784545052583</v>
      </c>
      <c r="E98">
        <f t="shared" si="7"/>
        <v>122</v>
      </c>
    </row>
    <row r="99" spans="1:5" x14ac:dyDescent="0.2">
      <c r="A99" s="4">
        <v>124</v>
      </c>
      <c r="B99" s="2">
        <f t="shared" si="4"/>
        <v>24</v>
      </c>
      <c r="C99" s="2">
        <f t="shared" si="5"/>
        <v>28.129362903391083</v>
      </c>
      <c r="D99" s="2">
        <f t="shared" si="6"/>
        <v>33.88701313171326</v>
      </c>
      <c r="E99">
        <f t="shared" si="7"/>
        <v>124</v>
      </c>
    </row>
    <row r="100" spans="1:5" x14ac:dyDescent="0.2">
      <c r="A100" s="4">
        <v>126</v>
      </c>
      <c r="B100" s="2">
        <f t="shared" si="4"/>
        <v>26</v>
      </c>
      <c r="C100" s="2">
        <f t="shared" si="5"/>
        <v>30.129362903391083</v>
      </c>
      <c r="D100" s="2">
        <f t="shared" si="6"/>
        <v>35.51984904154898</v>
      </c>
      <c r="E100">
        <f t="shared" si="7"/>
        <v>126</v>
      </c>
    </row>
    <row r="101" spans="1:5" x14ac:dyDescent="0.2">
      <c r="A101" s="4">
        <v>128</v>
      </c>
      <c r="B101" s="2">
        <f t="shared" ref="B101:B132" si="8">IntrValue(A101,$L$11,$D$34)</f>
        <v>28</v>
      </c>
      <c r="C101" s="2">
        <f t="shared" ref="C101:C137" si="9">LB(A101,$L$11,$L$15,$L$19,$D$34)</f>
        <v>32.129362903391083</v>
      </c>
      <c r="D101" s="2">
        <f t="shared" ref="D101:D132" si="10">IF(A101&gt;0,OpPrice(A101,$L$11,$L$15,$L$19,$L$23,$D$34),IF(D98=1,MAX(0,A101-$L$11*(1+$L$15/100)^(-($L$19/365))),MAX(0,$L$11*(1+$L$15/100)^(-($L$19/365)))-A101))</f>
        <v>37.175029559749291</v>
      </c>
      <c r="E101">
        <f t="shared" ref="E101:E137" si="11">IF($D$34=1,A101,$L$11*(1+$L$15/100)^(-$L$19/365))</f>
        <v>128</v>
      </c>
    </row>
    <row r="102" spans="1:5" x14ac:dyDescent="0.2">
      <c r="A102" s="4">
        <v>130</v>
      </c>
      <c r="B102" s="2">
        <f t="shared" si="8"/>
        <v>30</v>
      </c>
      <c r="C102" s="2">
        <f t="shared" si="9"/>
        <v>34.129362903391083</v>
      </c>
      <c r="D102" s="2">
        <f t="shared" si="10"/>
        <v>38.851339224220055</v>
      </c>
      <c r="E102">
        <f t="shared" si="11"/>
        <v>130</v>
      </c>
    </row>
    <row r="103" spans="1:5" x14ac:dyDescent="0.2">
      <c r="A103" s="4">
        <v>132</v>
      </c>
      <c r="B103" s="2">
        <f t="shared" si="8"/>
        <v>32</v>
      </c>
      <c r="C103" s="2">
        <f t="shared" si="9"/>
        <v>36.129362903391083</v>
      </c>
      <c r="D103" s="2">
        <f t="shared" si="10"/>
        <v>40.547610678310818</v>
      </c>
      <c r="E103">
        <f t="shared" si="11"/>
        <v>132</v>
      </c>
    </row>
    <row r="104" spans="1:5" x14ac:dyDescent="0.2">
      <c r="A104" s="4">
        <v>134</v>
      </c>
      <c r="B104" s="2">
        <f t="shared" si="8"/>
        <v>34</v>
      </c>
      <c r="C104" s="2">
        <f t="shared" si="9"/>
        <v>38.129362903391083</v>
      </c>
      <c r="D104" s="2">
        <f t="shared" si="10"/>
        <v>42.262725083561065</v>
      </c>
      <c r="E104">
        <f t="shared" si="11"/>
        <v>134</v>
      </c>
    </row>
    <row r="105" spans="1:5" x14ac:dyDescent="0.2">
      <c r="A105" s="4">
        <v>136</v>
      </c>
      <c r="B105" s="2">
        <f t="shared" si="8"/>
        <v>36</v>
      </c>
      <c r="C105" s="2">
        <f t="shared" si="9"/>
        <v>40.129362903391083</v>
      </c>
      <c r="D105" s="2">
        <f t="shared" si="10"/>
        <v>43.99561215090786</v>
      </c>
      <c r="E105">
        <f t="shared" si="11"/>
        <v>136</v>
      </c>
    </row>
    <row r="106" spans="1:5" x14ac:dyDescent="0.2">
      <c r="A106" s="4">
        <v>138</v>
      </c>
      <c r="B106" s="2">
        <f t="shared" si="8"/>
        <v>38</v>
      </c>
      <c r="C106" s="2">
        <f t="shared" si="9"/>
        <v>42.129362903391083</v>
      </c>
      <c r="D106" s="2">
        <f t="shared" si="10"/>
        <v>45.745249843990251</v>
      </c>
      <c r="E106">
        <f t="shared" si="11"/>
        <v>138</v>
      </c>
    </row>
    <row r="107" spans="1:5" x14ac:dyDescent="0.2">
      <c r="A107" s="4">
        <v>140</v>
      </c>
      <c r="B107" s="2">
        <f t="shared" si="8"/>
        <v>40</v>
      </c>
      <c r="C107" s="2">
        <f t="shared" si="9"/>
        <v>44.129362903391083</v>
      </c>
      <c r="D107" s="2">
        <f t="shared" si="10"/>
        <v>47.510663803446903</v>
      </c>
      <c r="E107">
        <f t="shared" si="11"/>
        <v>140</v>
      </c>
    </row>
    <row r="108" spans="1:5" x14ac:dyDescent="0.2">
      <c r="A108" s="4">
        <v>142</v>
      </c>
      <c r="B108" s="2">
        <f t="shared" si="8"/>
        <v>42</v>
      </c>
      <c r="C108" s="2">
        <f t="shared" si="9"/>
        <v>46.129362903391083</v>
      </c>
      <c r="D108" s="2">
        <f t="shared" si="10"/>
        <v>49.290926536505154</v>
      </c>
      <c r="E108">
        <f t="shared" si="11"/>
        <v>142</v>
      </c>
    </row>
    <row r="109" spans="1:5" x14ac:dyDescent="0.2">
      <c r="A109" s="4">
        <v>144</v>
      </c>
      <c r="B109" s="2">
        <f t="shared" si="8"/>
        <v>44</v>
      </c>
      <c r="C109" s="2">
        <f t="shared" si="9"/>
        <v>48.129362903391083</v>
      </c>
      <c r="D109" s="2">
        <f t="shared" si="10"/>
        <v>51.085156411753701</v>
      </c>
      <c r="E109">
        <f t="shared" si="11"/>
        <v>144</v>
      </c>
    </row>
    <row r="110" spans="1:5" x14ac:dyDescent="0.2">
      <c r="A110" s="4">
        <v>146</v>
      </c>
      <c r="B110" s="2">
        <f t="shared" si="8"/>
        <v>46</v>
      </c>
      <c r="C110" s="2">
        <f t="shared" si="9"/>
        <v>50.129362903391083</v>
      </c>
      <c r="D110" s="2">
        <f t="shared" si="10"/>
        <v>52.89251649481487</v>
      </c>
      <c r="E110">
        <f t="shared" si="11"/>
        <v>146</v>
      </c>
    </row>
    <row r="111" spans="1:5" x14ac:dyDescent="0.2">
      <c r="A111" s="4">
        <v>148</v>
      </c>
      <c r="B111" s="2">
        <f t="shared" si="8"/>
        <v>48</v>
      </c>
      <c r="C111" s="2">
        <f t="shared" si="9"/>
        <v>52.129362903391083</v>
      </c>
      <c r="D111" s="2">
        <f t="shared" si="10"/>
        <v>54.71221325670983</v>
      </c>
      <c r="E111">
        <f t="shared" si="11"/>
        <v>148</v>
      </c>
    </row>
    <row r="112" spans="1:5" x14ac:dyDescent="0.2">
      <c r="A112" s="4">
        <v>150</v>
      </c>
      <c r="B112" s="2">
        <f t="shared" si="8"/>
        <v>50</v>
      </c>
      <c r="C112" s="2">
        <f t="shared" si="9"/>
        <v>54.129362903391083</v>
      </c>
      <c r="D112" s="2">
        <f t="shared" si="10"/>
        <v>56.543495183055711</v>
      </c>
      <c r="E112">
        <f t="shared" si="11"/>
        <v>150</v>
      </c>
    </row>
    <row r="113" spans="1:5" x14ac:dyDescent="0.2">
      <c r="A113" s="4">
        <v>152</v>
      </c>
      <c r="B113" s="2">
        <f t="shared" si="8"/>
        <v>52</v>
      </c>
      <c r="C113" s="2">
        <f t="shared" si="9"/>
        <v>56.129362903391083</v>
      </c>
      <c r="D113" s="2">
        <f t="shared" si="10"/>
        <v>58.385651308853312</v>
      </c>
      <c r="E113">
        <f t="shared" si="11"/>
        <v>152</v>
      </c>
    </row>
    <row r="114" spans="1:5" x14ac:dyDescent="0.2">
      <c r="A114" s="4">
        <v>154</v>
      </c>
      <c r="B114" s="2">
        <f t="shared" si="8"/>
        <v>54</v>
      </c>
      <c r="C114" s="2">
        <f t="shared" si="9"/>
        <v>58.129362903391083</v>
      </c>
      <c r="D114" s="2">
        <f t="shared" si="10"/>
        <v>60.238009700518276</v>
      </c>
      <c r="E114">
        <f t="shared" si="11"/>
        <v>154</v>
      </c>
    </row>
    <row r="115" spans="1:5" x14ac:dyDescent="0.2">
      <c r="A115" s="4">
        <v>156</v>
      </c>
      <c r="B115" s="2">
        <f t="shared" si="8"/>
        <v>56</v>
      </c>
      <c r="C115" s="2">
        <f t="shared" si="9"/>
        <v>60.129362903391083</v>
      </c>
      <c r="D115" s="2">
        <f t="shared" si="10"/>
        <v>62.099935903970177</v>
      </c>
      <c r="E115">
        <f t="shared" si="11"/>
        <v>156</v>
      </c>
    </row>
    <row r="116" spans="1:5" x14ac:dyDescent="0.2">
      <c r="A116" s="4">
        <v>158</v>
      </c>
      <c r="B116" s="2">
        <f t="shared" si="8"/>
        <v>58</v>
      </c>
      <c r="C116" s="2">
        <f t="shared" si="9"/>
        <v>62.129362903391083</v>
      </c>
      <c r="D116" s="2">
        <f t="shared" si="10"/>
        <v>63.970831375017099</v>
      </c>
      <c r="E116">
        <f t="shared" si="11"/>
        <v>158</v>
      </c>
    </row>
    <row r="117" spans="1:5" x14ac:dyDescent="0.2">
      <c r="A117" s="4">
        <v>160</v>
      </c>
      <c r="B117" s="2">
        <f t="shared" si="8"/>
        <v>60</v>
      </c>
      <c r="C117" s="2">
        <f t="shared" si="9"/>
        <v>64.129362903391083</v>
      </c>
      <c r="D117" s="2">
        <f t="shared" si="10"/>
        <v>65.850131905943229</v>
      </c>
      <c r="E117">
        <f t="shared" si="11"/>
        <v>160</v>
      </c>
    </row>
    <row r="118" spans="1:5" x14ac:dyDescent="0.2">
      <c r="A118" s="4">
        <v>162</v>
      </c>
      <c r="B118" s="2">
        <f t="shared" si="8"/>
        <v>62</v>
      </c>
      <c r="C118" s="2">
        <f t="shared" si="9"/>
        <v>66.129362903391083</v>
      </c>
      <c r="D118" s="2">
        <f t="shared" si="10"/>
        <v>67.737306060111862</v>
      </c>
      <c r="E118">
        <f t="shared" si="11"/>
        <v>162</v>
      </c>
    </row>
    <row r="119" spans="1:5" x14ac:dyDescent="0.2">
      <c r="A119" s="4">
        <v>164</v>
      </c>
      <c r="B119" s="2">
        <f t="shared" si="8"/>
        <v>64</v>
      </c>
      <c r="C119" s="2">
        <f t="shared" si="9"/>
        <v>68.129362903391083</v>
      </c>
      <c r="D119" s="2">
        <f t="shared" si="10"/>
        <v>69.631853624521426</v>
      </c>
      <c r="E119">
        <f t="shared" si="11"/>
        <v>164</v>
      </c>
    </row>
    <row r="120" spans="1:5" x14ac:dyDescent="0.2">
      <c r="A120" s="4">
        <v>166</v>
      </c>
      <c r="B120" s="2">
        <f t="shared" si="8"/>
        <v>66</v>
      </c>
      <c r="C120" s="2">
        <f t="shared" si="9"/>
        <v>70.129362903391083</v>
      </c>
      <c r="D120" s="2">
        <f t="shared" si="10"/>
        <v>71.533304088582994</v>
      </c>
      <c r="E120">
        <f t="shared" si="11"/>
        <v>166</v>
      </c>
    </row>
    <row r="121" spans="1:5" x14ac:dyDescent="0.2">
      <c r="A121" s="4">
        <v>168</v>
      </c>
      <c r="B121" s="2">
        <f t="shared" si="8"/>
        <v>68</v>
      </c>
      <c r="C121" s="2">
        <f t="shared" si="9"/>
        <v>72.129362903391083</v>
      </c>
      <c r="D121" s="2">
        <f t="shared" si="10"/>
        <v>73.441215155905553</v>
      </c>
      <c r="E121">
        <f t="shared" si="11"/>
        <v>168</v>
      </c>
    </row>
    <row r="122" spans="1:5" x14ac:dyDescent="0.2">
      <c r="A122" s="4">
        <v>170</v>
      </c>
      <c r="B122" s="2">
        <f t="shared" si="8"/>
        <v>70</v>
      </c>
      <c r="C122" s="2">
        <f t="shared" si="9"/>
        <v>74.129362903391083</v>
      </c>
      <c r="D122" s="2">
        <f t="shared" si="10"/>
        <v>75.355171294570368</v>
      </c>
      <c r="E122">
        <f t="shared" si="11"/>
        <v>170</v>
      </c>
    </row>
    <row r="123" spans="1:5" x14ac:dyDescent="0.2">
      <c r="A123" s="4">
        <v>172</v>
      </c>
      <c r="B123" s="2">
        <f t="shared" si="8"/>
        <v>72</v>
      </c>
      <c r="C123" s="2">
        <f t="shared" si="9"/>
        <v>76.129362903391083</v>
      </c>
      <c r="D123" s="2">
        <f t="shared" si="10"/>
        <v>77.274782330227083</v>
      </c>
      <c r="E123">
        <f t="shared" si="11"/>
        <v>172</v>
      </c>
    </row>
    <row r="124" spans="1:5" x14ac:dyDescent="0.2">
      <c r="A124" s="4">
        <v>174</v>
      </c>
      <c r="B124" s="2">
        <f t="shared" si="8"/>
        <v>74</v>
      </c>
      <c r="C124" s="2">
        <f t="shared" si="9"/>
        <v>78.129362903391083</v>
      </c>
      <c r="D124" s="2">
        <f t="shared" si="10"/>
        <v>79.199682085342445</v>
      </c>
      <c r="E124">
        <f t="shared" si="11"/>
        <v>174</v>
      </c>
    </row>
    <row r="125" spans="1:5" x14ac:dyDescent="0.2">
      <c r="A125" s="4">
        <v>176</v>
      </c>
      <c r="B125" s="2">
        <f t="shared" si="8"/>
        <v>76</v>
      </c>
      <c r="C125" s="2">
        <f t="shared" si="9"/>
        <v>80.129362903391083</v>
      </c>
      <c r="D125" s="2">
        <f t="shared" si="10"/>
        <v>81.12952706705974</v>
      </c>
      <c r="E125">
        <f t="shared" si="11"/>
        <v>176</v>
      </c>
    </row>
    <row r="126" spans="1:5" x14ac:dyDescent="0.2">
      <c r="A126" s="4">
        <v>178</v>
      </c>
      <c r="B126" s="2">
        <f t="shared" si="8"/>
        <v>78</v>
      </c>
      <c r="C126" s="2">
        <f t="shared" si="9"/>
        <v>82.129362903391083</v>
      </c>
      <c r="D126" s="2">
        <f t="shared" si="10"/>
        <v>83.063995205374766</v>
      </c>
      <c r="E126">
        <f t="shared" si="11"/>
        <v>178</v>
      </c>
    </row>
    <row r="127" spans="1:5" x14ac:dyDescent="0.2">
      <c r="A127" s="4">
        <v>180</v>
      </c>
      <c r="B127" s="2">
        <f t="shared" si="8"/>
        <v>80</v>
      </c>
      <c r="C127" s="2">
        <f t="shared" si="9"/>
        <v>84.129362903391083</v>
      </c>
      <c r="D127" s="2">
        <f t="shared" si="10"/>
        <v>85.002784642685128</v>
      </c>
      <c r="E127">
        <f t="shared" si="11"/>
        <v>180</v>
      </c>
    </row>
    <row r="128" spans="1:5" x14ac:dyDescent="0.2">
      <c r="A128" s="4">
        <v>182</v>
      </c>
      <c r="B128" s="2">
        <f t="shared" si="8"/>
        <v>82</v>
      </c>
      <c r="C128" s="2">
        <f t="shared" si="9"/>
        <v>86.129362903391083</v>
      </c>
      <c r="D128" s="2">
        <f t="shared" si="10"/>
        <v>86.945612575217766</v>
      </c>
      <c r="E128">
        <f t="shared" si="11"/>
        <v>182</v>
      </c>
    </row>
    <row r="129" spans="1:5" x14ac:dyDescent="0.2">
      <c r="A129" s="4">
        <v>184</v>
      </c>
      <c r="B129" s="2">
        <f t="shared" si="8"/>
        <v>84</v>
      </c>
      <c r="C129" s="2">
        <f t="shared" si="9"/>
        <v>88.129362903391083</v>
      </c>
      <c r="D129" s="2">
        <f t="shared" si="10"/>
        <v>88.892214146370605</v>
      </c>
      <c r="E129">
        <f t="shared" si="11"/>
        <v>184</v>
      </c>
    </row>
    <row r="130" spans="1:5" x14ac:dyDescent="0.2">
      <c r="A130" s="4">
        <v>186</v>
      </c>
      <c r="B130" s="2">
        <f t="shared" si="8"/>
        <v>86</v>
      </c>
      <c r="C130" s="2">
        <f t="shared" si="9"/>
        <v>90.129362903391083</v>
      </c>
      <c r="D130" s="2">
        <f t="shared" si="10"/>
        <v>90.842341391611001</v>
      </c>
      <c r="E130">
        <f t="shared" si="11"/>
        <v>186</v>
      </c>
    </row>
    <row r="131" spans="1:5" x14ac:dyDescent="0.2">
      <c r="A131" s="4">
        <v>188</v>
      </c>
      <c r="B131" s="2">
        <f t="shared" si="8"/>
        <v>88</v>
      </c>
      <c r="C131" s="2">
        <f t="shared" si="9"/>
        <v>92.129362903391083</v>
      </c>
      <c r="D131" s="2">
        <f t="shared" si="10"/>
        <v>92.795762234245615</v>
      </c>
      <c r="E131">
        <f t="shared" si="11"/>
        <v>188</v>
      </c>
    </row>
    <row r="132" spans="1:5" x14ac:dyDescent="0.2">
      <c r="A132" s="4">
        <v>190</v>
      </c>
      <c r="B132" s="2">
        <f t="shared" si="8"/>
        <v>90</v>
      </c>
      <c r="C132" s="2">
        <f t="shared" si="9"/>
        <v>94.129362903391083</v>
      </c>
      <c r="D132" s="2">
        <f t="shared" si="10"/>
        <v>94.75225953110791</v>
      </c>
      <c r="E132">
        <f t="shared" si="11"/>
        <v>190</v>
      </c>
    </row>
    <row r="133" spans="1:5" x14ac:dyDescent="0.2">
      <c r="A133" s="4">
        <v>192</v>
      </c>
      <c r="B133" s="2">
        <f>IntrValue(A133,$L$11,$D$34)</f>
        <v>92</v>
      </c>
      <c r="C133" s="2">
        <f t="shared" si="9"/>
        <v>96.129362903391083</v>
      </c>
      <c r="D133" s="2">
        <f>IF(A133&gt;0,OpPrice(A133,$L$11,$L$15,$L$19,$L$23,$D$34),IF(D130=1,MAX(0,A133-$L$11*(1+$L$15/100)^(-($L$19/365))),MAX(0,$L$11*(1+$L$15/100)^(-($L$19/365)))-A133))</f>
        <v>96.711630166990204</v>
      </c>
      <c r="E133">
        <f t="shared" si="11"/>
        <v>192</v>
      </c>
    </row>
    <row r="134" spans="1:5" x14ac:dyDescent="0.2">
      <c r="A134" s="4">
        <v>194</v>
      </c>
      <c r="B134" s="2">
        <f>IntrValue(A134,$L$11,$D$34)</f>
        <v>94</v>
      </c>
      <c r="C134" s="2">
        <f t="shared" si="9"/>
        <v>98.129362903391083</v>
      </c>
      <c r="D134" s="2">
        <f>IF(A134&gt;0,OpPrice(A134,$L$11,$L$15,$L$19,$L$23,$D$34),IF(D131=1,MAX(0,A134-$L$11*(1+$L$15/100)^(-($L$19/365))),MAX(0,$L$11*(1+$L$15/100)^(-($L$19/365)))-A134))</f>
        <v>98.673684196475008</v>
      </c>
      <c r="E134">
        <f t="shared" si="11"/>
        <v>194</v>
      </c>
    </row>
    <row r="135" spans="1:5" x14ac:dyDescent="0.2">
      <c r="A135" s="4">
        <v>196</v>
      </c>
      <c r="B135" s="2">
        <f>IntrValue(A135,$L$11,$D$34)</f>
        <v>96</v>
      </c>
      <c r="C135" s="2">
        <f t="shared" si="9"/>
        <v>100.12936290339108</v>
      </c>
      <c r="D135" s="2">
        <f>IF(A135&gt;0,OpPrice(A135,$L$11,$L$15,$L$19,$L$23,$D$34),IF(D132=1,MAX(0,A135-$L$11*(1+$L$15/100)^(-($L$19/365))),MAX(0,$L$11*(1+$L$15/100)^(-($L$19/365)))-A135))</f>
        <v>100.6382440316834</v>
      </c>
      <c r="E135">
        <f t="shared" si="11"/>
        <v>196</v>
      </c>
    </row>
    <row r="136" spans="1:5" x14ac:dyDescent="0.2">
      <c r="A136" s="4">
        <v>198</v>
      </c>
      <c r="B136" s="2">
        <f>IntrValue(A136,$L$11,$D$34)</f>
        <v>98</v>
      </c>
      <c r="C136" s="2">
        <f t="shared" si="9"/>
        <v>102.12936290339108</v>
      </c>
      <c r="D136" s="2">
        <f>IF(A136&gt;0,OpPrice(A136,$L$11,$L$15,$L$19,$L$23,$D$34),IF(D133=1,MAX(0,A136-$L$11*(1+$L$15/100)^(-($L$19/365))),MAX(0,$L$11*(1+$L$15/100)^(-($L$19/365)))-A136))</f>
        <v>102.60514367435937</v>
      </c>
      <c r="E136">
        <f t="shared" si="11"/>
        <v>198</v>
      </c>
    </row>
    <row r="137" spans="1:5" x14ac:dyDescent="0.2">
      <c r="A137" s="4">
        <v>200</v>
      </c>
      <c r="B137" s="2">
        <f>IntrValue(A137,$L$11,$D$34)</f>
        <v>100</v>
      </c>
      <c r="C137" s="2">
        <f t="shared" si="9"/>
        <v>104.12936290339108</v>
      </c>
      <c r="D137" s="2">
        <f>IF(A137&gt;0,OpPrice(A137,$L$11,$L$15,$L$19,$L$23,$D$34),IF(D134=1,MAX(0,A137-$L$11*(1+$L$15/100)^(-($L$19/365))),MAX(0,$L$11*(1+$L$15/100)^(-($L$19/365)))-A137))</f>
        <v>104.57422799063433</v>
      </c>
      <c r="E137">
        <f t="shared" si="11"/>
        <v>200</v>
      </c>
    </row>
  </sheetData>
  <phoneticPr fontId="3" type="noConversion"/>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Scroll Bar 3">
              <controlPr defaultSize="0" autoFill="0" autoLine="0" autoPict="0">
                <anchor moveWithCells="1">
                  <from>
                    <xdr:col>10</xdr:col>
                    <xdr:colOff>66675</xdr:colOff>
                    <xdr:row>19</xdr:row>
                    <xdr:rowOff>66675</xdr:rowOff>
                  </from>
                  <to>
                    <xdr:col>12</xdr:col>
                    <xdr:colOff>390525</xdr:colOff>
                    <xdr:row>20</xdr:row>
                    <xdr:rowOff>47625</xdr:rowOff>
                  </to>
                </anchor>
              </controlPr>
            </control>
          </mc:Choice>
        </mc:AlternateContent>
        <mc:AlternateContent xmlns:mc="http://schemas.openxmlformats.org/markup-compatibility/2006">
          <mc:Choice Requires="x14">
            <control shapeId="1029" r:id="rId5" name="Scroll Bar 5">
              <controlPr defaultSize="0" autoFill="0" autoLine="0" autoPict="0">
                <anchor moveWithCells="1">
                  <from>
                    <xdr:col>10</xdr:col>
                    <xdr:colOff>9525</xdr:colOff>
                    <xdr:row>11</xdr:row>
                    <xdr:rowOff>66675</xdr:rowOff>
                  </from>
                  <to>
                    <xdr:col>12</xdr:col>
                    <xdr:colOff>352425</xdr:colOff>
                    <xdr:row>12</xdr:row>
                    <xdr:rowOff>47625</xdr:rowOff>
                  </to>
                </anchor>
              </controlPr>
            </control>
          </mc:Choice>
        </mc:AlternateContent>
        <mc:AlternateContent xmlns:mc="http://schemas.openxmlformats.org/markup-compatibility/2006">
          <mc:Choice Requires="x14">
            <control shapeId="1030" r:id="rId6" name="Scroll Bar 6">
              <controlPr defaultSize="0" autoFill="0" autoLine="0" autoPict="0">
                <anchor moveWithCells="1">
                  <from>
                    <xdr:col>10</xdr:col>
                    <xdr:colOff>57150</xdr:colOff>
                    <xdr:row>23</xdr:row>
                    <xdr:rowOff>114300</xdr:rowOff>
                  </from>
                  <to>
                    <xdr:col>12</xdr:col>
                    <xdr:colOff>371475</xdr:colOff>
                    <xdr:row>24</xdr:row>
                    <xdr:rowOff>95250</xdr:rowOff>
                  </to>
                </anchor>
              </controlPr>
            </control>
          </mc:Choice>
        </mc:AlternateContent>
        <mc:AlternateContent xmlns:mc="http://schemas.openxmlformats.org/markup-compatibility/2006">
          <mc:Choice Requires="x14">
            <control shapeId="1044" r:id="rId7" name="List Box 20">
              <controlPr defaultSize="0" autoFill="0" autoLine="0" autoPict="0">
                <anchor moveWithCells="1">
                  <from>
                    <xdr:col>10</xdr:col>
                    <xdr:colOff>47625</xdr:colOff>
                    <xdr:row>7</xdr:row>
                    <xdr:rowOff>28575</xdr:rowOff>
                  </from>
                  <to>
                    <xdr:col>11</xdr:col>
                    <xdr:colOff>400050</xdr:colOff>
                    <xdr:row>8</xdr:row>
                    <xdr:rowOff>142875</xdr:rowOff>
                  </to>
                </anchor>
              </controlPr>
            </control>
          </mc:Choice>
        </mc:AlternateContent>
        <mc:AlternateContent xmlns:mc="http://schemas.openxmlformats.org/markup-compatibility/2006">
          <mc:Choice Requires="x14">
            <control shapeId="1066" r:id="rId8" name="Scroll Bar 42">
              <controlPr defaultSize="0" autoPict="0">
                <anchor moveWithCells="1">
                  <from>
                    <xdr:col>10</xdr:col>
                    <xdr:colOff>38100</xdr:colOff>
                    <xdr:row>15</xdr:row>
                    <xdr:rowOff>57150</xdr:rowOff>
                  </from>
                  <to>
                    <xdr:col>12</xdr:col>
                    <xdr:colOff>342900</xdr:colOff>
                    <xdr:row>16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1"/>
  <sheetViews>
    <sheetView workbookViewId="0">
      <selection activeCell="S15" sqref="S15"/>
    </sheetView>
  </sheetViews>
  <sheetFormatPr defaultRowHeight="12.75" x14ac:dyDescent="0.2"/>
  <sheetData>
    <row r="1" spans="1:10" x14ac:dyDescent="0.2">
      <c r="A1" s="14"/>
      <c r="B1" s="14"/>
      <c r="C1" s="14"/>
      <c r="D1" s="14"/>
      <c r="E1" s="14"/>
      <c r="F1" s="14"/>
      <c r="G1" s="14"/>
      <c r="H1" s="14"/>
      <c r="I1" s="14"/>
      <c r="J1" s="15"/>
    </row>
    <row r="2" spans="1:10" x14ac:dyDescent="0.2">
      <c r="A2" s="14"/>
      <c r="B2" s="14"/>
      <c r="C2" s="14"/>
      <c r="D2" s="14"/>
      <c r="E2" s="14"/>
      <c r="F2" s="14"/>
      <c r="G2" s="14"/>
      <c r="H2" s="14"/>
      <c r="I2" s="14"/>
      <c r="J2" s="15"/>
    </row>
    <row r="3" spans="1:10" x14ac:dyDescent="0.2">
      <c r="A3" s="14"/>
      <c r="B3" s="14"/>
      <c r="C3" s="14"/>
      <c r="D3" s="14"/>
      <c r="E3" s="14"/>
      <c r="F3" s="14"/>
      <c r="G3" s="14"/>
      <c r="H3" s="14"/>
      <c r="I3" s="14"/>
      <c r="J3" s="15"/>
    </row>
    <row r="4" spans="1:10" x14ac:dyDescent="0.2">
      <c r="A4" s="14"/>
      <c r="B4" s="14"/>
      <c r="C4" s="14"/>
      <c r="D4" s="14"/>
      <c r="E4" s="14"/>
      <c r="F4" s="14"/>
      <c r="G4" s="14"/>
      <c r="H4" s="14"/>
      <c r="I4" s="14"/>
      <c r="J4" s="15"/>
    </row>
    <row r="5" spans="1:10" x14ac:dyDescent="0.2">
      <c r="A5" s="14"/>
      <c r="B5" s="14"/>
      <c r="C5" s="14"/>
      <c r="D5" s="14"/>
      <c r="E5" s="14"/>
      <c r="F5" s="14"/>
      <c r="G5" s="14"/>
      <c r="H5" s="14"/>
      <c r="I5" s="14"/>
      <c r="J5" s="15"/>
    </row>
    <row r="6" spans="1:10" x14ac:dyDescent="0.2">
      <c r="A6" s="14"/>
      <c r="B6" s="14"/>
      <c r="C6" s="14"/>
      <c r="D6" s="14"/>
      <c r="E6" s="14"/>
      <c r="F6" s="14"/>
      <c r="G6" s="14"/>
      <c r="H6" s="14"/>
      <c r="I6" s="14"/>
      <c r="J6" s="15"/>
    </row>
    <row r="7" spans="1:10" x14ac:dyDescent="0.2">
      <c r="A7" s="14"/>
      <c r="B7" s="14"/>
      <c r="C7" s="14"/>
      <c r="D7" s="14"/>
      <c r="E7" s="14"/>
      <c r="F7" s="14"/>
      <c r="G7" s="14"/>
      <c r="H7" s="14"/>
      <c r="I7" s="14"/>
      <c r="J7" s="15"/>
    </row>
    <row r="8" spans="1:10" x14ac:dyDescent="0.2">
      <c r="A8" s="14"/>
      <c r="B8" s="14"/>
      <c r="C8" s="14"/>
      <c r="D8" s="14"/>
      <c r="E8" s="14"/>
      <c r="F8" s="14"/>
      <c r="G8" s="14"/>
      <c r="H8" s="14"/>
      <c r="I8" s="14"/>
      <c r="J8" s="15"/>
    </row>
    <row r="9" spans="1:10" x14ac:dyDescent="0.2">
      <c r="A9" s="14"/>
      <c r="B9" s="14"/>
      <c r="C9" s="14"/>
      <c r="D9" s="14"/>
      <c r="E9" s="14"/>
      <c r="F9" s="14"/>
      <c r="G9" s="14"/>
      <c r="H9" s="14"/>
      <c r="I9" s="14"/>
      <c r="J9" s="15"/>
    </row>
    <row r="10" spans="1:10" x14ac:dyDescent="0.2">
      <c r="A10" s="14"/>
      <c r="B10" s="14"/>
      <c r="C10" s="14"/>
      <c r="D10" s="14"/>
      <c r="E10" s="14"/>
      <c r="F10" s="14"/>
      <c r="G10" s="14"/>
      <c r="H10" s="14"/>
      <c r="I10" s="14"/>
      <c r="J10" s="15"/>
    </row>
    <row r="11" spans="1:10" x14ac:dyDescent="0.2">
      <c r="A11" s="14"/>
      <c r="B11" s="14"/>
      <c r="C11" s="14"/>
      <c r="D11" s="14"/>
      <c r="E11" s="14"/>
      <c r="F11" s="14"/>
      <c r="G11" s="14"/>
      <c r="H11" s="14"/>
      <c r="I11" s="14"/>
      <c r="J11" s="15"/>
    </row>
    <row r="12" spans="1:10" x14ac:dyDescent="0.2">
      <c r="A12" s="14"/>
      <c r="B12" s="14"/>
      <c r="C12" s="14"/>
      <c r="D12" s="14"/>
      <c r="E12" s="14"/>
      <c r="F12" s="14"/>
      <c r="G12" s="14"/>
      <c r="H12" s="14"/>
      <c r="I12" s="14"/>
      <c r="J12" s="15"/>
    </row>
    <row r="13" spans="1:10" x14ac:dyDescent="0.2">
      <c r="A13" s="14"/>
      <c r="B13" s="14"/>
      <c r="C13" s="14"/>
      <c r="D13" s="14"/>
      <c r="E13" s="14"/>
      <c r="F13" s="14"/>
      <c r="G13" s="14"/>
      <c r="H13" s="14"/>
      <c r="I13" s="14"/>
      <c r="J13" s="15"/>
    </row>
    <row r="14" spans="1:10" x14ac:dyDescent="0.2">
      <c r="A14" s="14"/>
      <c r="B14" s="14"/>
      <c r="C14" s="14"/>
      <c r="D14" s="14"/>
      <c r="E14" s="14"/>
      <c r="F14" s="14"/>
      <c r="G14" s="14"/>
      <c r="H14" s="14"/>
      <c r="I14" s="14"/>
      <c r="J14" s="15"/>
    </row>
    <row r="15" spans="1:10" x14ac:dyDescent="0.2">
      <c r="A15" s="14"/>
      <c r="B15" s="14"/>
      <c r="C15" s="14"/>
      <c r="D15" s="14"/>
      <c r="E15" s="14"/>
      <c r="F15" s="14"/>
      <c r="G15" s="14"/>
      <c r="H15" s="14"/>
      <c r="I15" s="14"/>
      <c r="J15" s="15"/>
    </row>
    <row r="16" spans="1:10" x14ac:dyDescent="0.2">
      <c r="A16" s="14"/>
      <c r="B16" s="14"/>
      <c r="C16" s="14"/>
      <c r="D16" s="14"/>
      <c r="E16" s="14"/>
      <c r="F16" s="14"/>
      <c r="G16" s="14"/>
      <c r="H16" s="14"/>
      <c r="I16" s="14"/>
      <c r="J16" s="15"/>
    </row>
    <row r="17" spans="1:10" x14ac:dyDescent="0.2">
      <c r="A17" s="14"/>
      <c r="B17" s="14"/>
      <c r="C17" s="14"/>
      <c r="D17" s="14"/>
      <c r="E17" s="14"/>
      <c r="F17" s="14"/>
      <c r="G17" s="14"/>
      <c r="H17" s="14"/>
      <c r="I17" s="14"/>
      <c r="J17" s="15"/>
    </row>
    <row r="18" spans="1:10" x14ac:dyDescent="0.2">
      <c r="A18" s="14"/>
      <c r="B18" s="14"/>
      <c r="C18" s="14"/>
      <c r="D18" s="14"/>
      <c r="E18" s="14"/>
      <c r="F18" s="14"/>
      <c r="G18" s="14"/>
      <c r="H18" s="14"/>
      <c r="I18" s="14"/>
      <c r="J18" s="15"/>
    </row>
    <row r="19" spans="1:10" x14ac:dyDescent="0.2">
      <c r="A19" s="14"/>
      <c r="B19" s="14"/>
      <c r="C19" s="14"/>
      <c r="D19" s="14"/>
      <c r="E19" s="14"/>
      <c r="F19" s="14"/>
      <c r="G19" s="14"/>
      <c r="H19" s="14"/>
      <c r="I19" s="14"/>
      <c r="J19" s="15"/>
    </row>
    <row r="20" spans="1:10" ht="13.5" thickBot="1" x14ac:dyDescent="0.25">
      <c r="A20" s="16"/>
      <c r="B20" s="16"/>
      <c r="C20" s="16"/>
      <c r="D20" s="16"/>
      <c r="E20" s="16"/>
      <c r="F20" s="16"/>
      <c r="G20" s="16"/>
      <c r="H20" s="16"/>
      <c r="I20" s="16"/>
      <c r="J20" s="17"/>
    </row>
    <row r="21" spans="1:10" ht="13.5" thickTop="1" x14ac:dyDescent="0.2"/>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
  <sheetViews>
    <sheetView workbookViewId="0">
      <selection activeCell="N10" sqref="N10"/>
    </sheetView>
  </sheetViews>
  <sheetFormatPr defaultRowHeight="12.75" x14ac:dyDescent="0.2"/>
  <sheetData>
    <row r="1" spans="1:7" x14ac:dyDescent="0.2">
      <c r="A1" s="14"/>
      <c r="B1" s="14"/>
      <c r="C1" s="14"/>
      <c r="D1" s="14"/>
      <c r="E1" s="14"/>
      <c r="F1" s="14"/>
      <c r="G1" s="15"/>
    </row>
    <row r="2" spans="1:7" x14ac:dyDescent="0.2">
      <c r="A2" s="14"/>
      <c r="B2" s="14"/>
      <c r="C2" s="14"/>
      <c r="D2" s="14"/>
      <c r="E2" s="14"/>
      <c r="F2" s="14"/>
      <c r="G2" s="15"/>
    </row>
    <row r="3" spans="1:7" x14ac:dyDescent="0.2">
      <c r="A3" s="14"/>
      <c r="B3" s="14"/>
      <c r="C3" s="14"/>
      <c r="D3" s="14"/>
      <c r="E3" s="14"/>
      <c r="F3" s="14"/>
      <c r="G3" s="15"/>
    </row>
    <row r="4" spans="1:7" x14ac:dyDescent="0.2">
      <c r="A4" s="14"/>
      <c r="B4" s="14"/>
      <c r="C4" s="14"/>
      <c r="D4" s="14"/>
      <c r="E4" s="14"/>
      <c r="F4" s="14"/>
      <c r="G4" s="15"/>
    </row>
    <row r="5" spans="1:7" x14ac:dyDescent="0.2">
      <c r="A5" s="14"/>
      <c r="B5" s="14"/>
      <c r="C5" s="14"/>
      <c r="D5" s="14"/>
      <c r="E5" s="14"/>
      <c r="F5" s="14"/>
      <c r="G5" s="15"/>
    </row>
    <row r="6" spans="1:7" x14ac:dyDescent="0.2">
      <c r="A6" s="14"/>
      <c r="B6" s="14"/>
      <c r="C6" s="14"/>
      <c r="D6" s="14"/>
      <c r="E6" s="14"/>
      <c r="F6" s="14"/>
      <c r="G6" s="15"/>
    </row>
    <row r="7" spans="1:7" x14ac:dyDescent="0.2">
      <c r="A7" s="14"/>
      <c r="B7" s="14"/>
      <c r="C7" s="14"/>
      <c r="D7" s="14"/>
      <c r="E7" s="14"/>
      <c r="F7" s="14"/>
      <c r="G7" s="15"/>
    </row>
    <row r="8" spans="1:7" x14ac:dyDescent="0.2">
      <c r="A8" s="14"/>
      <c r="B8" s="14"/>
      <c r="C8" s="14"/>
      <c r="D8" s="14"/>
      <c r="E8" s="14"/>
      <c r="F8" s="14"/>
      <c r="G8" s="15"/>
    </row>
    <row r="9" spans="1:7" x14ac:dyDescent="0.2">
      <c r="A9" s="14"/>
      <c r="B9" s="14"/>
      <c r="C9" s="14"/>
      <c r="D9" s="14"/>
      <c r="E9" s="14"/>
      <c r="F9" s="14"/>
      <c r="G9" s="15"/>
    </row>
    <row r="10" spans="1:7" x14ac:dyDescent="0.2">
      <c r="A10" s="14"/>
      <c r="B10" s="14"/>
      <c r="C10" s="14"/>
      <c r="D10" s="14"/>
      <c r="E10" s="14"/>
      <c r="F10" s="14"/>
      <c r="G10" s="15"/>
    </row>
    <row r="11" spans="1:7" x14ac:dyDescent="0.2">
      <c r="A11" s="14"/>
      <c r="B11" s="14"/>
      <c r="C11" s="14"/>
      <c r="D11" s="14"/>
      <c r="E11" s="14"/>
      <c r="F11" s="14"/>
      <c r="G11" s="15"/>
    </row>
    <row r="12" spans="1:7" x14ac:dyDescent="0.2">
      <c r="A12" s="14"/>
      <c r="B12" s="14"/>
      <c r="C12" s="14"/>
      <c r="D12" s="14"/>
      <c r="E12" s="14"/>
      <c r="F12" s="14"/>
      <c r="G12" s="15"/>
    </row>
    <row r="13" spans="1:7" ht="13.5" thickBot="1" x14ac:dyDescent="0.25">
      <c r="A13" s="16"/>
      <c r="B13" s="16"/>
      <c r="C13" s="16"/>
      <c r="D13" s="16"/>
      <c r="E13" s="16"/>
      <c r="F13" s="16"/>
      <c r="G13" s="17"/>
    </row>
    <row r="14" spans="1:7" ht="13.5" thickTop="1" x14ac:dyDescent="0.2"/>
  </sheetData>
  <phoneticPr fontId="0" type="noConversion"/>
  <pageMargins left="0.75" right="0.75" top="1" bottom="1" header="0.5" footer="0.5"/>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Boundary Conditions</vt:lpstr>
      <vt:lpstr>Instructions</vt:lpstr>
      <vt:lpstr>About</vt:lpstr>
    </vt:vector>
  </TitlesOfParts>
  <Company>Dell Computer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Preferred Customer</dc:creator>
  <cp:lastModifiedBy>Don Chance</cp:lastModifiedBy>
  <dcterms:created xsi:type="dcterms:W3CDTF">1997-08-13T17:51:19Z</dcterms:created>
  <dcterms:modified xsi:type="dcterms:W3CDTF">2014-03-18T19:04:54Z</dcterms:modified>
</cp:coreProperties>
</file>